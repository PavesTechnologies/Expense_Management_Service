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roject Tracker" sheetId="1" state="visible" r:id="rId3"/>
    <sheet name="Category Summary" sheetId="2" state="visible" r:id="rId4"/>
    <sheet name="Epic Overview" sheetId="3" state="visible" r:id="rId5"/>
    <sheet name="Sprint Summary" sheetId="4" state="visible" r:id="rId6"/>
  </sheets>
  <definedNames>
    <definedName function="false" hidden="true" localSheetId="0" name="_xlnm._FilterDatabase" vbProcedure="false">'Project Tracker'!$A$4:$O$739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<sst xmlns="http://schemas.openxmlformats.org/spreadsheetml/2006/main" count="8961" uniqueCount="2708">
  <si>
    <t xml:space="preserve">EMS — Developer Implementation Tracker</t>
  </si>
  <si>
    <t xml:space="preserve">Grounded in the EMS FRD and Database ER Diagram — every task names the real table, entity, API and screen involved. Includes GL Account Management (new).  |  Total estimated effort: 837 hours (incl. RBAC &amp; GL Account)</t>
  </si>
  <si>
    <t xml:space="preserve">Task ID</t>
  </si>
  <si>
    <t xml:space="preserve">Epic</t>
  </si>
  <si>
    <t xml:space="preserve">User Story</t>
  </si>
  <si>
    <t xml:space="preserve">Task</t>
  </si>
  <si>
    <t xml:space="preserve">Task Description</t>
  </si>
  <si>
    <t xml:space="preserve">Category</t>
  </si>
  <si>
    <t xml:space="preserve">Sprint</t>
  </si>
  <si>
    <t xml:space="preserve">Due Date</t>
  </si>
  <si>
    <t xml:space="preserve">Dependency</t>
  </si>
  <si>
    <t xml:space="preserve">Est. Hours</t>
  </si>
  <si>
    <t xml:space="preserve">Actual Hours</t>
  </si>
  <si>
    <t xml:space="preserve">Priority</t>
  </si>
  <si>
    <t xml:space="preserve">Assignee</t>
  </si>
  <si>
    <t xml:space="preserve">Status</t>
  </si>
  <si>
    <t xml:space="preserve">Acceptance Criteria</t>
  </si>
  <si>
    <t xml:space="preserve">T-001</t>
  </si>
  <si>
    <t xml:space="preserve">EP01 - Expense Management System Foundation &amp; Administration</t>
  </si>
  <si>
    <t xml:space="preserve">EP01-S1 - Configure GL Account Management</t>
  </si>
  <si>
    <t xml:space="preserve">Design gl_account database table</t>
  </si>
  <si>
    <t xml:space="preserve">Design the `gl_account` database table. Columns: gl_account_id, gl_account_code, gl_account_name, account_type, description, status, created_at, updated_at. Purpose: Maintain the General Ledger Account master that Expense Categories (and, downstream, Finance/Invoice postings) reference, so GL mapping is a governed, reusable master-data relationship rather than ...</t>
  </si>
  <si>
    <t xml:space="preserve">Database</t>
  </si>
  <si>
    <t xml:space="preserve">Sprint 1</t>
  </si>
  <si>
    <t xml:space="preserve">2026-08-23</t>
  </si>
  <si>
    <t xml:space="preserve">Project start (no dependency)</t>
  </si>
  <si>
    <t xml:space="preserve">High</t>
  </si>
  <si>
    <t xml:space="preserve">Not Started</t>
  </si>
  <si>
    <t xml:space="preserve">- GL Account code must be unique per organization; duplicate detection is case-insensitive
- Only Active GL Accounts are selectable in any downstream dropdown (e.g., Expense Category form)
- A GL Account cannot be deleted while mapped to one or more Expense Categories
- Administrator creates a GL Account with a unique code, name, and account type
- Admin can create/edit/deactivate a GL Account with a unique code, name and account type
- Unit tests passed
- UI integrated successfully</t>
  </si>
  <si>
    <t xml:space="preserve">T-002</t>
  </si>
  <si>
    <t xml:space="preserve">Create GLAccount JPA Entity</t>
  </si>
  <si>
    <t xml:space="preserve">Create the GLAccount JPA entity mapped 1:1 to `gl_account`, with fields for gl_account_id, gl_account_code, gl_account_name, account_type, description, status, created_at, updated_at, standard audit columns (created_at, updated_at), and a unique constraint on gl_account_code.</t>
  </si>
  <si>
    <t xml:space="preserve">gl_account table created (T-001)</t>
  </si>
  <si>
    <t xml:space="preserve">T-003</t>
  </si>
  <si>
    <t xml:space="preserve">Create GLAccountRepository</t>
  </si>
  <si>
    <t xml:space="preserve">Create GLAccountRepository with standard CRUD operations plus custom queries for active GL Accounts and case-insensitive duplicate-code lookup.</t>
  </si>
  <si>
    <t xml:space="preserve">Backend</t>
  </si>
  <si>
    <t xml:space="preserve">GLAccount entity completed (T-002)</t>
  </si>
  <si>
    <t xml:space="preserve">T-004</t>
  </si>
  <si>
    <t xml:space="preserve">Create GL Account Request &amp; Response DTOs</t>
  </si>
  <si>
    <t xml:space="preserve">Create GLAccountRequest and GLAccountResponse DTOs covering gl_account_id, gl_account_code, gl_account_name, account_type, description, status, created_at, updated_at, with the Response DTO also exposing a `mappedCategoryCount` field so the UI can show/block deletion of mapped accounts.</t>
  </si>
  <si>
    <t xml:space="preserve">GLAccountRepository completed (T-003)</t>
  </si>
  <si>
    <t xml:space="preserve">T-005</t>
  </si>
  <si>
    <t xml:space="preserve">Implement GL Account Service</t>
  </si>
  <si>
    <t xml:space="preserve">Implement the GL Account service layer. Business flow: Administrator creates a GL Account with a unique code, name, and account type.; A GL Account becomes selectable for mapping (e.g., by Expense Category) only once its status is Active.; Deactivating a GL Account does not affect categories already mapped to it historically, but prevents new mapping.. Enforce: GL Account code must be unique per organization; duplicate detection is case-insensitive.; Only Active GL Accounts are selectable in any downstream dropdown (e.g., Expense Category form).; A GL Account cannot be deleted while mapped to one or more Expense Categories.. Exceptions: Attempt to delete a GL Account that is mapped to one or more Expense Categories — blocked with an explicit message listing the mapped categories.; Attempt to deactivate a GL Account still mapped to an active Expense Category — allowed, but every mapped category is auto-flagged 'GL Mapping Invalid' until remapped..</t>
  </si>
  <si>
    <t xml:space="preserve">GL Account DTOs completed (T-004)</t>
  </si>
  <si>
    <t xml:space="preserve">T-006</t>
  </si>
  <si>
    <t xml:space="preserve">Implement GL Account CRUD REST APIs</t>
  </si>
  <si>
    <t xml:space="preserve">Implement the REST APIs for GL Account Management: POST /api/v1/gl-accounts, PUT /api/v1/gl-accounts/{id}, GET /api/v1/gl-accounts, GET /api/v1/gl-accounts/{id}, DELETE /api/v1/gl-accounts/{id}. Requests must enforce the service-layer validations and return errors per: Attempt to delete a GL Account that is mapped to one or more Expense Categories — blocked with an explicit message listing the mapped categories.</t>
  </si>
  <si>
    <t xml:space="preserve">GL Account Service completed (T-005)</t>
  </si>
  <si>
    <t xml:space="preserve">T-007</t>
  </si>
  <si>
    <t xml:space="preserve">Build GL Account Management UI</t>
  </si>
  <si>
    <t xml:space="preserve">Build the GL Account Management screen: Tabular GL Account list with inline create/edit and an Active/Inactive status toggle.; Delete action is disabled (with tooltip) on any GL Account currently mapped to an Expense Category.</t>
  </si>
  <si>
    <t xml:space="preserve">Frontend</t>
  </si>
  <si>
    <t xml:space="preserve">GL Account CRUD APIs completed (T-006)</t>
  </si>
  <si>
    <t xml:space="preserve">T-008</t>
  </si>
  <si>
    <t xml:space="preserve">GL Account API Integration</t>
  </si>
  <si>
    <t xml:space="preserve">Integrate POST /api/v1/gl-accounts, PUT /api/v1/gl-accounts/{id}, GET /api/v1/gl-accounts, GET /api/v1/gl-accounts/{id}, DELETE /api/v1/gl-accounts/{id} into the GL Account Management UI; wire the Active-only GL Account picker so it can be reused by the Expense Category form, with loading states and error handling for API failures.</t>
  </si>
  <si>
    <t xml:space="preserve">Integration</t>
  </si>
  <si>
    <t xml:space="preserve">GL Account Management UI completed (T-007)</t>
  </si>
  <si>
    <t xml:space="preserve">T-009</t>
  </si>
  <si>
    <t xml:space="preserve">Implement GL Account Validations</t>
  </si>
  <si>
    <t xml:space="preserve">Implement validations end-to-end (service + client-mirrored): GL Account code must be unique per organization; duplicate detection is case-insensitive.; Only Active GL Accounts are selectable in any downstream dropdown (e.g., Expense Category form).; A GL Account cannot be deleted while mapped to one or more Expense Categories.. Client-side mirrors of these rules must match the server-side checks exactly.</t>
  </si>
  <si>
    <t xml:space="preserve">GL Account API integration completed (T-008)</t>
  </si>
  <si>
    <t xml:space="preserve">T-010</t>
  </si>
  <si>
    <t xml:space="preserve">Unit Testing — GL Account Service &amp; APIs</t>
  </si>
  <si>
    <t xml:space="preserve">Write unit tests covering the GL Account service logic, all validations (GL Account code must be unique per organization; duplicate detection is case-insensitive.; Only Active GL Accounts are selectable in any downstream dropdown (e.g., Expense Category form).; A GL Account cannot be deleted while mapped to one or more Expense Categories.), and the REST API contract (POST /api/v1/gl-accounts, PUT /api/v1/gl-accounts/{id}, GET /api/v1/gl-accounts, GET /api/v1/gl-accounts/{id}, DELETE /api/v1/gl-accounts/{id}).</t>
  </si>
  <si>
    <t xml:space="preserve">Testing</t>
  </si>
  <si>
    <t xml:space="preserve">GL Account validations completed (T-009)</t>
  </si>
  <si>
    <t xml:space="preserve">T-011</t>
  </si>
  <si>
    <t xml:space="preserve">Integration Testing — GL Account Management</t>
  </si>
  <si>
    <t xml:space="preserve">Write integration tests covering the full GL Account create/edit/deactivate/delete flow end-to-end, including the delete-blocked-while-mapped scenario once Expense Category linkage exists.</t>
  </si>
  <si>
    <t xml:space="preserve">GL Account unit tests passed (T-010)</t>
  </si>
  <si>
    <t xml:space="preserve">T-012</t>
  </si>
  <si>
    <t xml:space="preserve">Code Review — GL Account Management</t>
  </si>
  <si>
    <t xml:space="preserve">Peer-review the GL Account Management implementation (entity, repository, DTOs, service, APIs, UI), and deploy to the QA environment.</t>
  </si>
  <si>
    <t xml:space="preserve">Review/Deployment</t>
  </si>
  <si>
    <t xml:space="preserve">GL Account integration tests passed (T-011)</t>
  </si>
  <si>
    <t xml:space="preserve">T-013</t>
  </si>
  <si>
    <t xml:space="preserve">EP01-S2 - Configure expense categories and category rules</t>
  </si>
  <si>
    <t xml:space="preserve">Design expense_category database table</t>
  </si>
  <si>
    <t xml:space="preserve">Design the `expense_category` database table to support Expense Category &amp; GL Account Mapping Setup. Columns: category_id, name, gl_account_id FK -&gt; gl_account.gl_account_id, tax_code, status, effective_from, effective_to. Purpose: Maintain the taxonomy of expense categories and their foreign-key relationship to the GL Account master, for downstream finance posting.</t>
  </si>
  <si>
    <t xml:space="preserve">GL Account Management module completed (EP01-S1)</t>
  </si>
  <si>
    <t xml:space="preserve">- gl_account_id must reference an existing, Active GL Account; Inactive or deleted GL Accounts cannot be sele
- Category name must be unique per organization; duplicate detection is case-insensitive
- A GL Account already mapped to one or more Expense Categories cannot be deleted from GL Account Management 
- Administrator creates a category with an effective-from date and selects a GL Account from a dropdown popul
- Admin can create/edit/deactivate a category (Travel, Food/Hotel, Internet/Software, Supplies, Training)
- Unit tests passed
- UI integrated successfully</t>
  </si>
  <si>
    <t xml:space="preserve">T-014</t>
  </si>
  <si>
    <t xml:space="preserve">Create ExpenseCategory entity mapped to expense_category table</t>
  </si>
  <si>
    <t xml:space="preserve">Create the ExpenseCategory entity/model class mapped 1:1 to the `expense_category` table, with fields for category_id, name, gl_account_id FK -&gt; gl_account.gl_account_id, tax_code, status, effective_from, effective_to, required relationships/foreign keys, standard audit columns (created_at, updated_at), and validation annotations on mandatory fields (per: gl_account_id must reference an existing, Active GL Account; Inactive or deleted GL Accounts cannot be selected in the dropdown.; Category name must be unique per organization; duplicate detection is case-insensitive.).</t>
  </si>
  <si>
    <t xml:space="preserve">expense_category table created (T-013)</t>
  </si>
  <si>
    <t xml:space="preserve">T-015</t>
  </si>
  <si>
    <t xml:space="preserve">Create ExpenseCategoryRepository with CRUD operations and custom queries</t>
  </si>
  <si>
    <t xml:space="preserve">Create ExpenseCategoryRepository exposing standard CRUD operations on `expense_category`, plus custom queries needed for Expense Category &amp; GL Account Mapping Setup: Administrator creates a category with an effective-from date and selects a GL Account from a dropdown populated with only Active GL Accounts.; Category becomes selectable in expense line items only once active..</t>
  </si>
  <si>
    <t xml:space="preserve">ExpenseCategory entity completed (T-014)</t>
  </si>
  <si>
    <t xml:space="preserve">T-016</t>
  </si>
  <si>
    <t xml:space="preserve">Implement Expense Category &amp; GL Account Mapping Setup Service (business logic, rules &amp; validations)</t>
  </si>
  <si>
    <t xml:space="preserve">Implement the Expense Category &amp; GL Account Mapping Setup service layer. Business flow: Administrator creates a category with an effective-from date and selects a GL Account from a dropdown populated with only Active GL Accounts.; Category becomes selectable in expense line items only once active.; Deactivating a category does not affect historical line items but prevents new selection.. Validations to enforce: gl_account_id must reference an existing, Active GL Account; Inactive or deleted GL Accounts cannot be selected in the dropdown.; Category name must be unique per organization; duplicate detection is case-insensitive.; A GL Account already mapped to one or more Expense Categories cannot be deleted from GL Account Management until every mapped category is reassigned to a different GL Account.. Exception handling: GL Account referenced by a category is deactivated — category is auto-flagged 'GL Mapping Invalid' and blocked from new use until remapped to an Active GL Account.; Attempt to delete a GL Account that is still mapped to one or more Expense Categories — blocked with an explicit message listing the mapped categories..</t>
  </si>
  <si>
    <t xml:space="preserve">ExpenseCategoryRepository completed (T-015)</t>
  </si>
  <si>
    <t xml:space="preserve">T-017</t>
  </si>
  <si>
    <t xml:space="preserve">Implement Expense Category &amp; GL Account Mapping Setup REST APIs</t>
  </si>
  <si>
    <t xml:space="preserve">Implement the REST API(s) for Expense Category &amp; GL Account Mapping Setup: POST /api/v1/categories, PUT /api/v1/categories, GET /api/v1/categories, GET /api/v1/categories/{id}. Requests must enforce the validations and business rules implemented in the Expense Category &amp; GL Account Mapping Setup service, and return errors per: GL Account referenced by a category is deactivated — category is auto-flagged 'GL Mapping Invalid' and blocked from new use until remapped to an Active GL Account..</t>
  </si>
  <si>
    <t xml:space="preserve">Expense Category &amp; GL Account Mapping Setup service completed (T-016)</t>
  </si>
  <si>
    <t xml:space="preserve">T-018</t>
  </si>
  <si>
    <t xml:space="preserve">Write unit tests for Expense Category &amp; GL Account Mapping Setup service and APIs</t>
  </si>
  <si>
    <t xml:space="preserve">Write unit tests covering the Expense Category &amp; GL Account Mapping Setup service logic, all validations (gl_account_id must reference an existing, Active GL Account; Inactive or deleted GL Accounts cannot be selected in the dropdown.; Category name must be unique per organization; duplicate detection is case-insensitive.; A GL Account already mapped to one or more Expense Categories cannot be deleted from GL Account Management until every mapped category is reassigned to a different GL Account.), exception paths, and the REST API contract (POST /api/v1/categories, PUT /api/v1/categories, GET /api/v1/categories, GET /api/v1/categories/{id}).</t>
  </si>
  <si>
    <t xml:space="preserve">Expense Category &amp; GL Account Mapping Setup APIs completed (T-017)</t>
  </si>
  <si>
    <t xml:space="preserve">T-019</t>
  </si>
  <si>
    <t xml:space="preserve">Build Expense Category &amp; GL Account Mapping Setup screen/UI component</t>
  </si>
  <si>
    <t xml:space="preserve">Build the Expense Category &amp; GL Account Mapping Setup screen/UI component. UI behaviour: Tabular category list with inline edit; effective-dating shown as a timeline badge; GL Account column shows the linked GL Account's code and name.; GL Account field on the Category form is a type-ahead dropdown sourced from GET /api/v1/gl-accounts?status=Active, never a free-text code..</t>
  </si>
  <si>
    <t xml:space="preserve">Backend unit tests passed for Expense Category &amp; GL Account Mapping Setup (T-018)</t>
  </si>
  <si>
    <t xml:space="preserve">T-020</t>
  </si>
  <si>
    <t xml:space="preserve">Integrate Expense Category &amp; GL Account Mapping Setup APIs into UI and implement client-side validations</t>
  </si>
  <si>
    <t xml:space="preserve">Integrate POST /api/v1/categories, PUT /api/v1/categories, GET /api/v1/categories, GET /api/v1/categories/{id} into the Expense Category &amp; GL Account Mapping Setup screen; mirror the backend validations (gl_account_id must reference an existing, Active GL Account; Inactive or deleted GL Accounts cannot be selected in the dropdown.; Category name must be unique per organization; duplicate detection is case-insensitive.) on the client, show loading states, and surface user-facing error messages for: GL Account referenced by a category is deactivated — category is auto-flagged 'GL Mapping Invalid' and blocked from new use until remapped to an Active GL Account.; Attempt to delete a GL Account that is still mapped to one or more Expense Categories — blocked with an explicit message listing the mapped categories..</t>
  </si>
  <si>
    <t xml:space="preserve">Expense Category &amp; GL Account Mapping Setup UI screen completed (T-019)</t>
  </si>
  <si>
    <t xml:space="preserve">T-021</t>
  </si>
  <si>
    <t xml:space="preserve">Perform UI testing for Expense Category &amp; GL Account Mapping Setup</t>
  </si>
  <si>
    <t xml:space="preserve">Perform UI testing for the Expense Category &amp; GL Account Mapping Setup screen: verify it behaves per the UI behaviour spec, all client-side validations trigger correctly, and API errors/loading states display as expected.</t>
  </si>
  <si>
    <t xml:space="preserve">Expense Category &amp; GL Account Mapping Setup API integration completed (T-020)</t>
  </si>
  <si>
    <t xml:space="preserve">T-022</t>
  </si>
  <si>
    <t xml:space="preserve">Code review, documentation &amp; deployment for Expense Category &amp; GL Account Mapping Setup</t>
  </si>
  <si>
    <t xml:space="preserve">Peer-review the Expense Category &amp; GL Account Mapping Setup implementation (entity, repository, service, APIs, UI), update technical documentation, and deploy to the QA environment.</t>
  </si>
  <si>
    <t xml:space="preserve">UI testing passed for Expense Category &amp; GL Account Mapping Setup (T-021)</t>
  </si>
  <si>
    <t xml:space="preserve">T-023</t>
  </si>
  <si>
    <t xml:space="preserve">EP01-S3 - Configure currencies and exchange rate source</t>
  </si>
  <si>
    <t xml:space="preserve">Design exchange_rate database table</t>
  </si>
  <si>
    <t xml:space="preserve">Design the `exchange_rate` database table to support Currency &amp; Exchange Rate Configuration. Columns: rate_id, from_currency, to_currency, rate, effective_date, source, fetched_at. Purpose: Manage supported currencies and the ingestion cadence/source of exchange rates used to normalize multi-currency expenses.</t>
  </si>
  <si>
    <t xml:space="preserve">Expense Category &amp; GL Account Mapping Setup module completed (EP01-S2)</t>
  </si>
  <si>
    <t xml:space="preserve">- Base currency cannot be changed once transactional data exists; requires a data migration project instead o
- Rate values must be positive, non-zero decimals
- Scheduled job (daily, configurable time) calls the Exchange Rate Service API for all active currency pairs 
- Admin can enable/disable currencies available for line-item entry
- Unit tests passed
- UI integrated successfully</t>
  </si>
  <si>
    <t xml:space="preserve">T-024</t>
  </si>
  <si>
    <t xml:space="preserve">Create ExchangeRate entity mapped to exchange_rate table</t>
  </si>
  <si>
    <t xml:space="preserve">Create the ExchangeRate entity/model class mapped 1:1 to the `exchange_rate` table, with fields for rate_id, from_currency, to_currency, rate, effective_date, source, fetched_at, required relationships/foreign keys, standard audit columns (created_at, updated_at), and validation annotations on mandatory fields (per: Base currency cannot be changed once transactional data exists; requires a data migration project instead of a configuration change.; Rate values must be positive, non-zero decimals.).</t>
  </si>
  <si>
    <t xml:space="preserve">exchange_rate table created (T-023)</t>
  </si>
  <si>
    <t xml:space="preserve">T-025</t>
  </si>
  <si>
    <t xml:space="preserve">Create ExchangeRateRepository with CRUD operations and custom queries</t>
  </si>
  <si>
    <t xml:space="preserve">Create ExchangeRateRepository exposing standard CRUD operations on `exchange_rate`, plus custom queries needed for Currency &amp; Exchange Rate Configuration: Scheduled job (daily, configurable time) calls the Exchange Rate Service API for all active currency pairs against the base currency.; Rates are persisted with an effective date; the rate used for any transaction is the one effective on the transaction (expense) date, per BR-05..</t>
  </si>
  <si>
    <t xml:space="preserve">ExchangeRate entity completed (T-024)</t>
  </si>
  <si>
    <t xml:space="preserve">T-026</t>
  </si>
  <si>
    <t xml:space="preserve">Implement Currency &amp; Exchange Rate Configuration Service (business logic, rules &amp; validations)</t>
  </si>
  <si>
    <t xml:space="preserve">Implement the Currency &amp; Exchange Rate Configuration service layer. Business flow: Scheduled job (daily, configurable time) calls the Exchange Rate Service API for all active currency pairs against the base currency.; Rates are persisted with an effective date; the rate used for any transaction is the one effective on the transaction (expense) date, per BR-05.; If a rate is missing for a required date, the system retries and, if still unresolved, blocks submission per ERR-04.. Validations to enforce: Base currency cannot be changed once transactional data exists; requires a data migration project instead of a configuration change.; Rate values must be positive, non-zero decimals.. Exception handling: Exchange Rate Service outage — cached last-known rate used for up to 24 hours with a 'stale rate' indicator; beyond that, submissions are blocked..</t>
  </si>
  <si>
    <t xml:space="preserve">ExchangeRateRepository completed (T-025)</t>
  </si>
  <si>
    <t xml:space="preserve">T-027</t>
  </si>
  <si>
    <t xml:space="preserve">Implement Currency &amp; Exchange Rate Configuration REST APIs</t>
  </si>
  <si>
    <t xml:space="preserve">Implement the REST API(s) for Currency &amp; Exchange Rate Configuration: GET /api/v1/currencies, GET /api/v1/exchange-rates?date=&amp;from=&amp;to=, POST /api/v1/exchange-rates/refresh. Requests must enforce the validations and business rules implemented in the Currency &amp; Exchange Rate Configuration service, and return errors per: Exchange Rate Service outage — cached last-known rate used for up to 24 hours with a 'stale rate' indicator; beyond that, submissions are blocked..</t>
  </si>
  <si>
    <t xml:space="preserve">Currency &amp; Exchange Rate Configuration service completed (T-026)</t>
  </si>
  <si>
    <t xml:space="preserve">T-028</t>
  </si>
  <si>
    <t xml:space="preserve">Write unit tests for Currency &amp; Exchange Rate Configuration service and APIs</t>
  </si>
  <si>
    <t xml:space="preserve">Write unit tests covering the Currency &amp; Exchange Rate Configuration service logic, all validations (Base currency cannot be changed once transactional data exists; requires a data migration project instead of a configuration change.; Rate values must be positive, non-zero decimals.), exception paths, and the REST API contract (GET /api/v1/currencies, GET /api/v1/exchange-rates?date=&amp;from=&amp;to=, POST /api/v1/exchange-rates/refresh).</t>
  </si>
  <si>
    <t xml:space="preserve">Currency &amp; Exchange Rate Configuration APIs completed (T-027)</t>
  </si>
  <si>
    <t xml:space="preserve">T-029</t>
  </si>
  <si>
    <t xml:space="preserve">Build Currency &amp; Exchange Rate Configuration screen/UI component</t>
  </si>
  <si>
    <t xml:space="preserve">Build the Currency &amp; Exchange Rate Configuration screen/UI component. UI behaviour: Rate history table with source, effective date, and staleness indicator..</t>
  </si>
  <si>
    <t xml:space="preserve">Backend unit tests passed for Currency &amp; Exchange Rate Configuration (T-028)</t>
  </si>
  <si>
    <t xml:space="preserve">T-030</t>
  </si>
  <si>
    <t xml:space="preserve">Integrate Currency &amp; Exchange Rate Configuration APIs into UI and implement client-side validations</t>
  </si>
  <si>
    <t xml:space="preserve">Integrate GET /api/v1/currencies, GET /api/v1/exchange-rates?date=&amp;from=&amp;to=, POST /api/v1/exchange-rates/refresh into the Currency &amp; Exchange Rate Configuration screen; mirror the backend validations (Base currency cannot be changed once transactional data exists; requires a data migration project instead of a configuration change.; Rate values must be positive, non-zero decimals.) on the client, show loading states, and surface user-facing error messages for: Exchange Rate Service outage — cached last-known rate used for up to 24 hours with a 'stale rate' indicator; beyond that, submissions are blocked..</t>
  </si>
  <si>
    <t xml:space="preserve">Currency &amp; Exchange Rate Configuration UI screen completed (T-029)</t>
  </si>
  <si>
    <t xml:space="preserve">T-031</t>
  </si>
  <si>
    <t xml:space="preserve">Perform UI testing for Currency &amp; Exchange Rate Configuration</t>
  </si>
  <si>
    <t xml:space="preserve">Perform UI testing for the Currency &amp; Exchange Rate Configuration screen: verify it behaves per the UI behaviour spec, all client-side validations trigger correctly, and API errors/loading states display as expected.</t>
  </si>
  <si>
    <t xml:space="preserve">Currency &amp; Exchange Rate Configuration API integration completed (T-030)</t>
  </si>
  <si>
    <t xml:space="preserve">T-032</t>
  </si>
  <si>
    <t xml:space="preserve">Code review, documentation &amp; deployment for Currency &amp; Exchange Rate Configuration</t>
  </si>
  <si>
    <t xml:space="preserve">Peer-review the Currency &amp; Exchange Rate Configuration implementation (entity, repository, service, APIs, UI), update technical documentation, and deploy to the QA environment.</t>
  </si>
  <si>
    <t xml:space="preserve">UI testing passed for Currency &amp; Exchange Rate Configuration (T-031)</t>
  </si>
  <si>
    <t xml:space="preserve">T-033</t>
  </si>
  <si>
    <t xml:space="preserve">EP01-S4 - Configure cost centers, departments and projects (master data)</t>
  </si>
  <si>
    <t xml:space="preserve">Design cost_center database table</t>
  </si>
  <si>
    <t xml:space="preserve">Design the `cost_center` database table and related table(s) period to support Organization Hierarchy &amp; Cost Center Setup. Columns: cost_center_id UUID PK, name, parent_cost_center_id FK self-reference, owner_employee_id — plain UUID, no local FK, validated via UMS, status. Purpose: Model the organizational structure and cost center hierarchy that underpins approval routing, budget allocation, and reporting rollups. Cost centers remain an EMS/Finance-owned construct — not sourced from UMS, PMS, o...</t>
  </si>
  <si>
    <t xml:space="preserve">Currency &amp; Exchange Rate Configuration module completed (EP01-S3)</t>
  </si>
  <si>
    <t xml:space="preserve">- Cost center hierarchy must not contain circular parent references (validated via cycle-detection on save)
- Every cost center must have an active owner (a UMS employee_id confirmed active via FR-1.1) before it can b
- Cost centers are created with a hierarchical parent reference, enabling roll-up reporting
- Admin can create/edit/deactivate cost centers, departments, and internal project codes
- Unit tests passed
- UI integrated successfully</t>
  </si>
  <si>
    <t xml:space="preserve">T-034</t>
  </si>
  <si>
    <t xml:space="preserve">Create CostCenter entity mapped to cost_center table</t>
  </si>
  <si>
    <t xml:space="preserve">Create the CostCenter entity/model class mapped 1:1 to the `cost_center` table, with fields for cost_center_id UUID PK, name, parent_cost_center_id FK self-reference, owner_employee_id — plain UUID, no local FK, validated via UMS, status, required relationships/foreign keys, standard audit columns (created_at, updated_at), and validation annotations on mandatory fields (per: Cost center hierarchy must not contain circular parent references (validated via cycle-detection on save).; Every cost center must have an active owner (a UMS employee_id confirmed active via FR-1.1) before it can be selected in expense line items.).</t>
  </si>
  <si>
    <t xml:space="preserve">cost_center table created (T-033)</t>
  </si>
  <si>
    <t xml:space="preserve">T-035</t>
  </si>
  <si>
    <t xml:space="preserve">Create CostCenterRepository with CRUD operations and custom queries</t>
  </si>
  <si>
    <t xml:space="preserve">Create CostCenterRepository exposing standard CRUD operations on `cost_center`, plus custom queries needed for Organization Hierarchy &amp; Cost Center Setup: Cost centers are created with a hierarchical parent reference, enabling roll-up reporting.; Each cost center is assigned a primary owner (Department Head actor), identified purely by UMS employee_id and validated via the FR-1.1 lookup, who becomes a default second-level approver..</t>
  </si>
  <si>
    <t xml:space="preserve">CostCenter entity completed (T-034)</t>
  </si>
  <si>
    <t xml:space="preserve">T-036</t>
  </si>
  <si>
    <t xml:space="preserve">Implement Organization Hierarchy &amp; Cost Center Setup Service (business logic, rules &amp; validations)</t>
  </si>
  <si>
    <t xml:space="preserve">Implement the Organization Hierarchy &amp; Cost Center Setup service layer. Business flow: Cost centers are created with a hierarchical parent reference, enabling roll-up reporting.; Each cost center is assigned a primary owner (Department Head actor), identified purely by UMS employee_id and validated via the FR-1.1 lookup, who becomes a default second-level approver.; Budget amounts are set per fiscal period and consumed by the Cost Center Allocation module for real-time consumption tracking.. Validations to enforce: Cost center hierarchy must not contain circular parent references (validated via cycle-detection on save).; Every cost center must have an active owner (a UMS employee_id confirmed active via FR-1.1) before it can be selected in expense line items.. Exception handling: Cost center owner leaves the organization (becomes inactive in UMS) — system flags the cost center 'Owner Unassigned' and temporarily routes approvals to a configured fallback (e.g., Finance Controller)..</t>
  </si>
  <si>
    <t xml:space="preserve">CostCenterRepository completed (T-035)</t>
  </si>
  <si>
    <t xml:space="preserve">T-037</t>
  </si>
  <si>
    <t xml:space="preserve">Implement Organization Hierarchy &amp; Cost Center Setup REST APIs</t>
  </si>
  <si>
    <t xml:space="preserve">Implement the REST API(s) for Organization Hierarchy &amp; Cost Center Setup: POST /api/v1/cost-centers, PUT /api/v1/cost-centers, GET /api/v1/cost-centers, GET /api/v1/cost-centers/{id}/hierarchy. Requests must enforce the validations and business rules implemented in the Organization Hierarchy &amp; Cost Center Setup service, and return errors per: Cost center owner leaves the organization (becomes inactive in UMS) — system flags the cost center 'Owner Unassigned' and temporarily routes approvals to a configured fallback (e.g., Finance Controller)..</t>
  </si>
  <si>
    <t xml:space="preserve">Organization Hierarchy &amp; Cost Center Setup service completed (T-036)</t>
  </si>
  <si>
    <t xml:space="preserve">T-038</t>
  </si>
  <si>
    <t xml:space="preserve">Write unit tests for Organization Hierarchy &amp; Cost Center Setup service and APIs</t>
  </si>
  <si>
    <t xml:space="preserve">Write unit tests covering the Organization Hierarchy &amp; Cost Center Setup service logic, all validations (Cost center hierarchy must not contain circular parent references (validated via cycle-detection on save).; Every cost center must have an active owner (a UMS employee_id confirmed active via FR-1.1) before it can be selected in expense line items.), exception paths, and the REST API contract (POST /api/v1/cost-centers, PUT /api/v1/cost-centers, GET /api/v1/cost-centers, GET /api/v1/cost-centers/{id}/hierarchy).</t>
  </si>
  <si>
    <t xml:space="preserve">Organization Hierarchy &amp; Cost Center Setup APIs completed (T-037)</t>
  </si>
  <si>
    <t xml:space="preserve">T-039</t>
  </si>
  <si>
    <t xml:space="preserve">Build Organization Hierarchy &amp; Cost Center Setup screen/UI component</t>
  </si>
  <si>
    <t xml:space="preserve">Build the Organization Hierarchy &amp; Cost Center Setup screen/UI component. UI behaviour: Tree-view hierarchy editor with drag-and-drop re-parenting (guarded by cycle validation).; Owner assignment uses the UMS-backed employee picker described in FR-1.1, not a local list..</t>
  </si>
  <si>
    <t xml:space="preserve">Backend unit tests passed for Organization Hierarchy &amp; Cost Center Setup (T-038)</t>
  </si>
  <si>
    <t xml:space="preserve">T-040</t>
  </si>
  <si>
    <t xml:space="preserve">Integrate Organization Hierarchy &amp; Cost Center Setup APIs into UI and implement client-side validations</t>
  </si>
  <si>
    <t xml:space="preserve">Integrate POST /api/v1/cost-centers, PUT /api/v1/cost-centers, GET /api/v1/cost-centers, GET /api/v1/cost-centers/{id}/hierarchy into the Organization Hierarchy &amp; Cost Center Setup screen; mirror the backend validations (Cost center hierarchy must not contain circular parent references (validated via cycle-detection on save).; Every cost center must have an active owner (a UMS employee_id confirmed active via FR-1.1) before it can be selected in expense line items.) on the client, show loading states, and surface user-facing error messages for: Cost center owner leaves the organization (becomes inactive in UMS) — system flags the cost center 'Owner Unassigned' and temporarily routes approvals to a configured fallback (e.g., Finance Controller)..</t>
  </si>
  <si>
    <t xml:space="preserve">Organization Hierarchy &amp; Cost Center Setup UI screen completed (T-039)</t>
  </si>
  <si>
    <t xml:space="preserve">T-041</t>
  </si>
  <si>
    <t xml:space="preserve">Perform UI testing for Organization Hierarchy &amp; Cost Center Setup</t>
  </si>
  <si>
    <t xml:space="preserve">Perform UI testing for the Organization Hierarchy &amp; Cost Center Setup screen: verify it behaves per the UI behaviour spec, all client-side validations trigger correctly, and API errors/loading states display as expected.</t>
  </si>
  <si>
    <t xml:space="preserve">Organization Hierarchy &amp; Cost Center Setup API integration completed (T-040)</t>
  </si>
  <si>
    <t xml:space="preserve">T-042</t>
  </si>
  <si>
    <t xml:space="preserve">Code review, documentation &amp; deployment for Organization Hierarchy &amp; Cost Center Setup</t>
  </si>
  <si>
    <t xml:space="preserve">Peer-review the Organization Hierarchy &amp; Cost Center Setup implementation (entity, repository, service, APIs, UI), update technical documentation, and deploy to the QA environment.</t>
  </si>
  <si>
    <t xml:space="preserve">UI testing passed for Organization Hierarchy &amp; Cost Center Setup (T-041)</t>
  </si>
  <si>
    <t xml:space="preserve">T-043</t>
  </si>
  <si>
    <t xml:space="preserve">EP01-S5 - Configure roles and permissions</t>
  </si>
  <si>
    <t xml:space="preserve">Design role database table</t>
  </si>
  <si>
    <t xml:space="preserve">Design the `role` database table and related table(s) permission, role_permission, employee_role to support Role &amp; Permission Configuration. Columns: role_id, name, description. Purpose: Define and manage the role-based access control (RBAC) model governing which actions each actor type may perform within EMS.</t>
  </si>
  <si>
    <t xml:space="preserve">Organization Hierarchy &amp; Cost Center Setup module completed (EP01-S4)</t>
  </si>
  <si>
    <t xml:space="preserve">- A role cannot be deleted while actively assigned to one or more employees; must be reassigned first
- At least one Administrator role must always exist in the system (last-admin protection)
- Administrator creates or edits a role and assigns a set of granular permissions (e.g., EXPENSE_SUBMIT, EXPE
- Admin can assign the Employee, Manager, Finance, Invoice Team, and Administrator roles to a user
- Unit tests passed
- UI integrated successfully</t>
  </si>
  <si>
    <t xml:space="preserve">T-044</t>
  </si>
  <si>
    <t xml:space="preserve">Create Role entity mapped to role table</t>
  </si>
  <si>
    <t xml:space="preserve">Create the Role entity/model class mapped 1:1 to the `role` table, with fields for role_id, name, description, required relationships/foreign keys, standard audit columns (created_at, updated_at), and validation annotations on mandatory fields (per: A role cannot be deleted while actively assigned to one or more employees; must be reassigned first.; At least one Administrator role must always exist in the system (last-admin protection).).</t>
  </si>
  <si>
    <t xml:space="preserve">role table created (T-043)</t>
  </si>
  <si>
    <t xml:space="preserve">T-045</t>
  </si>
  <si>
    <t xml:space="preserve">Create RoleRepository with CRUD operations and custom queries</t>
  </si>
  <si>
    <t xml:space="preserve">Create RoleRepository exposing standard CRUD operations on `role`, plus custom queries needed for Role &amp; Permission Configuration: Administrator creates or edits a role and assigns a set of granular permissions (e.g., EXPENSE_SUBMIT, EXPENSE_APPROVE_L1, FINANCE_VERIFY).; Permissions are evaluated per-request via JWT claims populated at authentication time..</t>
  </si>
  <si>
    <t xml:space="preserve">Role entity completed (T-044)</t>
  </si>
  <si>
    <t xml:space="preserve">T-046</t>
  </si>
  <si>
    <t xml:space="preserve">Implement Role &amp; Permission Configuration Service (business logic, rules &amp; validations)</t>
  </si>
  <si>
    <t xml:space="preserve">Implement the Role &amp; Permission Configuration service layer. Business flow: Administrator creates or edits a role and assigns a set of granular permissions (e.g., EXPENSE_SUBMIT, EXPENSE_APPROVE_L1, FINANCE_VERIFY).; Permissions are evaluated per-request via JWT claims populated at authentication time.; Role assignment to a specific employee is a separate step, allowing one employee to hold multiple roles (e.g., Manager + Employee).. Validations to enforce: A role cannot be deleted while actively assigned to one or more employees; must be reassigned first.; At least one Administrator role must always exist in the system (last-admin protection).. Exception handling: Attempt to remove the last active Administrator — blocked with explicit system message.; Permission conflict where a custom role grants both submit and self-approve — flagged as a segregation-of-duties violation requiring explicit override justification..</t>
  </si>
  <si>
    <t xml:space="preserve">RoleRepository completed (T-045)</t>
  </si>
  <si>
    <t xml:space="preserve">T-047</t>
  </si>
  <si>
    <t xml:space="preserve">Implement Role &amp; Permission Configuration REST APIs</t>
  </si>
  <si>
    <t xml:space="preserve">Implement the REST API(s) for Role &amp; Permission Configuration: POST /api/v1/roles, PUT /api/v1/roles/{id}, GET /api/v1/roles, POST /api/v1/employees/{id}/roles. Requests must enforce the validations and business rules implemented in the Role &amp; Permission Configuration service, and return errors per: Attempt to remove the last active Administrator — blocked with explicit system message..</t>
  </si>
  <si>
    <t xml:space="preserve">Role &amp; Permission Configuration service completed (T-046)</t>
  </si>
  <si>
    <t xml:space="preserve">T-048</t>
  </si>
  <si>
    <t xml:space="preserve">Write unit tests for Role &amp; Permission Configuration service and APIs</t>
  </si>
  <si>
    <t xml:space="preserve">Write unit tests covering the Role &amp; Permission Configuration service logic, all validations (A role cannot be deleted while actively assigned to one or more employees; must be reassigned first.; At least one Administrator role must always exist in the system (last-admin protection).), exception paths, and the REST API contract (POST /api/v1/roles, PUT /api/v1/roles/{id}, GET /api/v1/roles, POST /api/v1/employees/{id}/roles).</t>
  </si>
  <si>
    <t xml:space="preserve">Role &amp; Permission Configuration APIs completed (T-047)</t>
  </si>
  <si>
    <t xml:space="preserve">T-049</t>
  </si>
  <si>
    <t xml:space="preserve">Build Role &amp; Permission Configuration screen/UI component</t>
  </si>
  <si>
    <t xml:space="preserve">Build the Role &amp; Permission Configuration screen/UI component. UI behaviour: Matrix-style UI: roles as rows, permissions as columns, toggle checkboxes.; Segregation-of-duties conflicts highlighted in red with tooltip explanation..</t>
  </si>
  <si>
    <t xml:space="preserve">Backend unit tests passed for Role &amp; Permission Configuration (T-048)</t>
  </si>
  <si>
    <t xml:space="preserve">T-050</t>
  </si>
  <si>
    <t xml:space="preserve">Integrate Role &amp; Permission Configuration APIs into UI and implement client-side validations</t>
  </si>
  <si>
    <t xml:space="preserve">Integrate POST /api/v1/roles, PUT /api/v1/roles/{id}, GET /api/v1/roles, POST /api/v1/employees/{id}/roles into the Role &amp; Permission Configuration screen; mirror the backend validations (A role cannot be deleted while actively assigned to one or more employees; must be reassigned first.; At least one Administrator role must always exist in the system (last-admin protection).) on the client, show loading states, and surface user-facing error messages for: Attempt to remove the last active Administrator — blocked with explicit system message.; Permission conflict where a custom role grants both submit and self-approve — flagged as a segregation-of-duties violation requiring explicit override justification..</t>
  </si>
  <si>
    <t xml:space="preserve">Role &amp; Permission Configuration UI screen completed (T-049)</t>
  </si>
  <si>
    <t xml:space="preserve">T-051</t>
  </si>
  <si>
    <t xml:space="preserve">Perform UI testing for Role &amp; Permission Configuration</t>
  </si>
  <si>
    <t xml:space="preserve">Perform UI testing for the Role &amp; Permission Configuration screen: verify it behaves per the UI behaviour spec, all client-side validations trigger correctly, and API errors/loading states display as expected.</t>
  </si>
  <si>
    <t xml:space="preserve">Role &amp; Permission Configuration API integration completed (T-050)</t>
  </si>
  <si>
    <t xml:space="preserve">T-052</t>
  </si>
  <si>
    <t xml:space="preserve">Code review, documentation &amp; deployment for Role &amp; Permission Configuration</t>
  </si>
  <si>
    <t xml:space="preserve">Peer-review the Role &amp; Permission Configuration implementation (entity, repository, service, APIs, UI), update technical documentation, and deploy to the QA environment.</t>
  </si>
  <si>
    <t xml:space="preserve">UI testing passed for Role &amp; Permission Configuration (T-051)</t>
  </si>
  <si>
    <t xml:space="preserve">T-053</t>
  </si>
  <si>
    <t xml:space="preserve">EP01-S6 - Configure reimbursement settings and system defaults</t>
  </si>
  <si>
    <t xml:space="preserve">Design system_configuration database table</t>
  </si>
  <si>
    <t xml:space="preserve">Design the `system_configuration` database table and related table(s) column to support UMS Employee Reference &amp; JWT-Based Identity Resolution. Columns: config_id, config_key, config_value, data_type, description, created_at, updated_at. Purpose: Resolve and validate 'which employee' for every EMS action without EMS maintaining its own employee/user table, per the integration constraint that UMS is the sole system of record for authentication, identity, and JW...</t>
  </si>
  <si>
    <t xml:space="preserve">Sprint 2</t>
  </si>
  <si>
    <t xml:space="preserve">2026-09-06</t>
  </si>
  <si>
    <t xml:space="preserve">Role &amp; Permission Configuration module completed (EP01-S5)</t>
  </si>
  <si>
    <t xml:space="preserve">Medium</t>
  </si>
  <si>
    <t xml:space="preserve">- Every write that stores a new 'other-party' employee_id must receive a positive existence/active-status con
- JWT must be valid, unexpired, and issued by the trusted UMS issuer for every request; requests failing this
- Incoming request's JWT is validated (signature, expiry, issuer) by the API gateway/Spring Security filter c
- Admin can set default reimbursement statuses and system-wide defaults (default currency, default approval c...
- Unit tests passed
- UI integrated successfully</t>
  </si>
  <si>
    <t xml:space="preserve">T-054</t>
  </si>
  <si>
    <t xml:space="preserve">Create SystemConfiguration entity mapped to system_configuration table</t>
  </si>
  <si>
    <t xml:space="preserve">Create the SystemConfiguration entity/model class mapped 1:1 to the `system_configuration` table, with fields for config_id, config_key, config_value, data_type, description, created_at, updated_at, required relationships/foreign keys, standard audit columns (created_at, updated_at), and validation annotations on mandatory fields (per: Every write that stores a new 'other-party' employee_id must receive a positive existence/active-status confirmation from UMS before commit; the write is rejected otherwise.; JWT must be valid, unexpired, and issued by the trusted UMS issuer for every request; requests failing this check never reach business logic.).</t>
  </si>
  <si>
    <t xml:space="preserve">system_configuration table created (T-053)</t>
  </si>
  <si>
    <t xml:space="preserve">T-055</t>
  </si>
  <si>
    <t xml:space="preserve">Create SystemConfigurationRepository with CRUD operations and custom queries</t>
  </si>
  <si>
    <t xml:space="preserve">Create SystemConfigurationRepository exposing standard CRUD operations on `system_configuration`, plus custom queries needed for UMS Employee Reference &amp; JWT-Based Identity Resolution: Incoming request's JWT is validated (signature, expiry, issuer) by the API gateway/Spring Security filter chain against UMS's published signing keys.; For self-referential actions, employee_id is taken directly from the validated JWT claims — no additional UMS call is needed..</t>
  </si>
  <si>
    <t xml:space="preserve">SystemConfiguration entity completed (T-054)</t>
  </si>
  <si>
    <t xml:space="preserve">T-056</t>
  </si>
  <si>
    <t xml:space="preserve">Implement UMS Employee Reference &amp; JWT-Based Identity Resolution Service (business logic, rules &amp; validations)</t>
  </si>
  <si>
    <t xml:space="preserve">Implement the UMS Employee Reference &amp; JWT-Based Identity Resolution service layer. Business flow: Incoming request's JWT is validated (signature, expiry, issuer) by the API gateway/Spring Security filter chain against UMS's published signing keys.; For self-referential actions, employee_id is taken directly from the validated JWT claims — no additional UMS call is needed.; For other-party references (e.g., an Administrator naming a specific employee as a cost center owner or named approver), the service calls a UMS batch-lookup API to confirm the employee_id exists and is active before the write is committed.. Validations to enforce: Every write that stores a new 'other-party' employee_id must receive a positive existence/active-status confirmation from UMS before commit; the write is rejected otherwise.; JWT must be valid, unexpired, and issued by the trusted UMS issuer for every request; requests failing this check never reach business logic.. Exception handling: UMS lookup API is temporarily unavailable during an other-party assignment (e.g., naming a new approver) — the write is blocked with a clear 'identity service unavailable, please retry' message rather than accepted unvalidated, since accepting an unverified employee_id would silently corrupt referential integrity with no local FK to catch it later.; A previously valid employee_id becomes inactive in UMS after being stored (e.g., an approver is later deactivated) — EMS does not retroactively invalidate historical records, but live routing/enrichment logic treats an inactive employee_id as ineligible for new assignments (e.g., new approval tasks fall back to a configured default) per FR-6.3/FR-6.4..</t>
  </si>
  <si>
    <t xml:space="preserve">SystemConfigurationRepository completed (T-055)</t>
  </si>
  <si>
    <t xml:space="preserve">T-057</t>
  </si>
  <si>
    <t xml:space="preserve">Implement UMS Employee Reference &amp; JWT-Based Identity Resolution REST APIs</t>
  </si>
  <si>
    <t xml:space="preserve">Implement the REST API(s) for UMS Employee Reference &amp; JWT-Based Identity Resolution: POST /ums/v1/employees/batch-lookup, GET /ums/v1/employees/search?q=, POST /ums/v1/employees/validate. Requests must enforce the validations and business rules implemented in the UMS Employee Reference &amp; JWT-Based Identity Resolution service, and return errors per: UMS lookup API is temporarily unavailable during an other-party assignment (e.g., naming a new approver) — the write is blocked with a clear 'identity service unavailable, please retry' message rather than accepted unvalidated, since accepting an unverified employee_id would silently corrupt referential integrity with no local FK to catch it later..</t>
  </si>
  <si>
    <t xml:space="preserve">UMS Employee Reference &amp; JWT-Based Identity Resolution service completed (T-056)</t>
  </si>
  <si>
    <t xml:space="preserve">T-058</t>
  </si>
  <si>
    <t xml:space="preserve">Write unit tests for UMS Employee Reference &amp; JWT-Based Identity Resolution service and APIs</t>
  </si>
  <si>
    <t xml:space="preserve">Write unit tests covering the UMS Employee Reference &amp; JWT-Based Identity Resolution service logic, all validations (Every write that stores a new 'other-party' employee_id must receive a positive existence/active-status confirmation from UMS before commit; the write is rejected otherwise.; JWT must be valid, unexpired, and issued by the trusted UMS issuer for every request; requests failing this check never reach business logic.), exception paths, and the REST API contract (POST /ums/v1/employees/batch-lookup, GET /ums/v1/employees/search?q=, POST /ums/v1/employees/validate).</t>
  </si>
  <si>
    <t xml:space="preserve">UMS Employee Reference &amp; JWT-Based Identity Resolution APIs completed (T-057)</t>
  </si>
  <si>
    <t xml:space="preserve">T-059</t>
  </si>
  <si>
    <t xml:space="preserve">Build UMS Employee Reference &amp; JWT-Based Identity Resolution screen/UI component</t>
  </si>
  <si>
    <t xml:space="preserve">Build the UMS Employee Reference &amp; JWT-Based Identity Resolution screen/UI component. UI behaviour: Employee/approver pickers throughout the UI are type-ahead search widgets backed by a UMS search-proxy endpoint, never a local dropdown.; Any employee name/email shown in EMS is fetched live via the UMS enrichment API and cached client-side only for the duration of the page view, never persisted..</t>
  </si>
  <si>
    <t xml:space="preserve">Backend unit tests passed for UMS Employee Reference &amp; JWT-Based Identity Resolution (T-058)</t>
  </si>
  <si>
    <t xml:space="preserve">T-060</t>
  </si>
  <si>
    <t xml:space="preserve">Integrate UMS Employee Reference &amp; JWT-Based Identity Resolution APIs into UI and implement client-side validations</t>
  </si>
  <si>
    <t xml:space="preserve">Integrate POST /ums/v1/employees/batch-lookup, GET /ums/v1/employees/search?q=, POST /ums/v1/employees/validate into the UMS Employee Reference &amp; JWT-Based Identity Resolution screen; mirror the backend validations (Every write that stores a new 'other-party' employee_id must receive a positive existence/active-status confirmation from UMS before commit; the write is rejected otherwise.; JWT must be valid, unexpired, and issued by the trusted UMS issuer for every request; requests failing this check never reach business logic.) on the client, show loading states, and surface user-facing error messages for: UMS lookup API is temporarily unavailable during an other-party assignment (e.g., naming a new approver) — the write is blocked with a clear 'identity service unavailable, please retry' message rather than accepted unvalidated, since accepting an unverified employee_id would silently corrupt referential integrity with no local FK to catch it later.; A previously valid employee_id becomes inactive in UMS after being stored (e.g., an approver is later deactivated) — EMS does not retroactively invalidate historical records, but live routing/enrichment logic treats an inactive employee_id as ineligible for new assignments (e.g., new approval tasks fall back to a configured default) per FR-6.3/FR-6.4..</t>
  </si>
  <si>
    <t xml:space="preserve">UMS Employee Reference &amp; JWT-Based Identity Resolution UI screen completed (T-059)</t>
  </si>
  <si>
    <t xml:space="preserve">T-061</t>
  </si>
  <si>
    <t xml:space="preserve">Perform UI testing for UMS Employee Reference &amp; JWT-Based Identity Resolution</t>
  </si>
  <si>
    <t xml:space="preserve">Perform UI testing for the UMS Employee Reference &amp; JWT-Based Identity Resolution screen: verify it behaves per the UI behaviour spec, all client-side validations trigger correctly, and API errors/loading states display as expected.</t>
  </si>
  <si>
    <t xml:space="preserve">UMS Employee Reference &amp; JWT-Based Identity Resolution API integration completed (T-060)</t>
  </si>
  <si>
    <t xml:space="preserve">T-062</t>
  </si>
  <si>
    <t xml:space="preserve">Code review, documentation &amp; deployment for UMS Employee Reference &amp; JWT-Based Identity Resolution</t>
  </si>
  <si>
    <t xml:space="preserve">Peer-review the UMS Employee Reference &amp; JWT-Based Identity Resolution implementation (entity, repository, service, APIs, UI), update technical documentation, and deploy to the QA environment.</t>
  </si>
  <si>
    <t xml:space="preserve">UI testing passed for UMS Employee Reference &amp; JWT-Based Identity Resolution (T-061)</t>
  </si>
  <si>
    <t xml:space="preserve">T-063</t>
  </si>
  <si>
    <t xml:space="preserve">EP02 - Expense Report &amp; Line Item Management</t>
  </si>
  <si>
    <t xml:space="preserve">EP02-S1 - Create and save a Draft expense report</t>
  </si>
  <si>
    <t xml:space="preserve">Design expense_report database table</t>
  </si>
  <si>
    <t xml:space="preserve">Design the `expense_report` database table to support Create Expense Report. Columns: report_id, employee_id, title, business_purpose, status, default_cost_center_id, created_at, submitted_at, currency. Purpose: Allow an employee (or authorized delegate) to initiate a new expense report as the container for one or more expense line items.</t>
  </si>
  <si>
    <t xml:space="preserve">EP01 (Expense Management System Foundation &amp; Administration) epic(s) completed</t>
  </si>
  <si>
    <t xml:space="preserve">- Business purpose is a mandatory free-text field, minimum 10 characters (configurable) to discourage vague j
- Report title must be unique per employee per fiscal period to reduce accidental duplicates
- Employee selects 'New Expense Report', enters title and business purpose
- Employee can create a report in Draft state and save/revisit/edit it freely
- Unit tests passed
- UI integrated successfully</t>
  </si>
  <si>
    <t xml:space="preserve">T-064</t>
  </si>
  <si>
    <t xml:space="preserve">Create ExpenseReport entity mapped to expense_report table</t>
  </si>
  <si>
    <t xml:space="preserve">Create the ExpenseReport entity/model class mapped 1:1 to the `expense_report` table, with fields for report_id, employee_id, title, business_purpose, status, default_cost_center_id, created_at, submitted_at, currency, required relationships/foreign keys, standard audit columns (created_at, updated_at), and validation annotations on mandatory fields (per: Business purpose is a mandatory free-text field, minimum 10 characters (configurable) to discourage vague justifications.; Report title must be unique per employee per fiscal period to reduce accidental duplicates.).</t>
  </si>
  <si>
    <t xml:space="preserve">expense_report table created (T-063)</t>
  </si>
  <si>
    <t xml:space="preserve">T-065</t>
  </si>
  <si>
    <t xml:space="preserve">Create ExpenseReportRepository with CRUD operations and custom queries</t>
  </si>
  <si>
    <t xml:space="preserve">Create ExpenseReportRepository exposing standard CRUD operations on `expense_report`, plus custom queries needed for Create Expense Report: Employee selects 'New Expense Report', enters title and business purpose.; Employee selects the applicable cost center from the active list (FR-1.5); the picker pre-selects whichever cost center the employee used most recently as a convenience default, but this is a client-side UX aid only — cost center assignment is not sourced from UMS, PMS, or RMS, since cost centers are an EMS/Finance-owned construct with no external system of record for 'this employee's cost center'..</t>
  </si>
  <si>
    <t xml:space="preserve">ExpenseReport entity completed (T-064)</t>
  </si>
  <si>
    <t xml:space="preserve">T-066</t>
  </si>
  <si>
    <t xml:space="preserve">Implement Create Expense Report Service (business logic, rules &amp; validations)</t>
  </si>
  <si>
    <t xml:space="preserve">Implement the Create Expense Report service layer. Business flow: Employee selects 'New Expense Report', enters title and business purpose.; Employee selects the applicable cost center from the active list (FR-1.5); the picker pre-selects whichever cost center the employee used most recently as a convenience default, but this is a client-side UX aid only — cost center assignment is not sourced from UMS, PMS, or RMS, since cost centers are an EMS/Finance-owned construct with no external system of record for 'this employee's cost center'.; Report is persisted in Draft status with zero line items until at least one is added.. Validations to enforce: Business purpose is a mandatory free-text field, minimum 10 characters (configurable) to discourage vague justifications.; Report title must be unique per employee per fiscal period to reduce accidental duplicates.. Exception handling: Employee attempts to create a report while marked Inactive in UMS — blocked with a redirect to HR contact information..</t>
  </si>
  <si>
    <t xml:space="preserve">ExpenseReportRepository completed (T-065)</t>
  </si>
  <si>
    <t xml:space="preserve">T-067</t>
  </si>
  <si>
    <t xml:space="preserve">Implement Create Expense Report REST APIs</t>
  </si>
  <si>
    <t xml:space="preserve">Implement the REST API(s) for Create Expense Report: POST /api/v1/expense-reports. Requests must enforce the validations and business rules implemented in the Create Expense Report service, and return errors per: Employee attempts to create a report while marked Inactive in UMS — blocked with a redirect to HR contact information..</t>
  </si>
  <si>
    <t xml:space="preserve">Create Expense Report service completed (T-066)</t>
  </si>
  <si>
    <t xml:space="preserve">T-068</t>
  </si>
  <si>
    <t xml:space="preserve">Write unit tests for Create Expense Report service and APIs</t>
  </si>
  <si>
    <t xml:space="preserve">Write unit tests covering the Create Expense Report service logic, all validations (Business purpose is a mandatory free-text field, minimum 10 characters (configurable) to discourage vague justifications.; Report title must be unique per employee per fiscal period to reduce accidental duplicates.), exception paths, and the REST API contract (POST /api/v1/expense-reports).</t>
  </si>
  <si>
    <t xml:space="preserve">Create Expense Report APIs completed (T-067)</t>
  </si>
  <si>
    <t xml:space="preserve">T-069</t>
  </si>
  <si>
    <t xml:space="preserve">Build Create Expense Report screen/UI component</t>
  </si>
  <si>
    <t xml:space="preserve">Build the Create Expense Report screen/UI component. UI behaviour: Single-page wizard: Report Details → Add Line Items → Review &amp; Submit, with save-as-draft available at every step..</t>
  </si>
  <si>
    <t xml:space="preserve">Backend unit tests passed for Create Expense Report (T-068)</t>
  </si>
  <si>
    <t xml:space="preserve">T-070</t>
  </si>
  <si>
    <t xml:space="preserve">Integrate Create Expense Report APIs into UI and implement client-side validations</t>
  </si>
  <si>
    <t xml:space="preserve">Integrate POST /api/v1/expense-reports into the Create Expense Report screen; mirror the backend validations (Business purpose is a mandatory free-text field, minimum 10 characters (configurable) to discourage vague justifications.; Report title must be unique per employee per fiscal period to reduce accidental duplicates.) on the client, show loading states, and surface user-facing error messages for: Employee attempts to create a report while marked Inactive in UMS — blocked with a redirect to HR contact information..</t>
  </si>
  <si>
    <t xml:space="preserve">Create Expense Report UI screen completed (T-069)</t>
  </si>
  <si>
    <t xml:space="preserve">T-071</t>
  </si>
  <si>
    <t xml:space="preserve">Perform UI testing for Create Expense Report</t>
  </si>
  <si>
    <t xml:space="preserve">Perform UI testing for the Create Expense Report screen: verify it behaves per the UI behaviour spec, all client-side validations trigger correctly, and API errors/loading states display as expected.</t>
  </si>
  <si>
    <t xml:space="preserve">Create Expense Report API integration completed (T-070)</t>
  </si>
  <si>
    <t xml:space="preserve">T-072</t>
  </si>
  <si>
    <t xml:space="preserve">Code review, documentation &amp; deployment for Create Expense Report</t>
  </si>
  <si>
    <t xml:space="preserve">Peer-review the Create Expense Report implementation (entity, repository, service, APIs, UI), update technical documentation, and deploy to the QA environment.</t>
  </si>
  <si>
    <t xml:space="preserve">UI testing passed for Create Expense Report (T-071)</t>
  </si>
  <si>
    <t xml:space="preserve">T-073</t>
  </si>
  <si>
    <t xml:space="preserve">EP02-S2 - Add, edit and delete expense line items</t>
  </si>
  <si>
    <t xml:space="preserve">Design expense_line_item database table</t>
  </si>
  <si>
    <t xml:space="preserve">Design the `expense_line_item` database table to support Add/Edit Expense Line Item. Columns: line_item_id, report_id FK, category_id FK, amount, currency, base_amount, expense_date, merchant, description, cost_center_id FK, client_billable_flag, status. Purpose: Enable itemized capture of individual expense transactions within a report, each independently categorized, dated, and evidenced.</t>
  </si>
  <si>
    <t xml:space="preserve">Create Expense Report module completed (EP02-S1)</t>
  </si>
  <si>
    <t xml:space="preserve">- VAL-02, VAL-03, VAL-04 apply (amount, date, category-GL validity)
- Mileage-category items require distance and rate fields instead of a flat amount, computed server-side
- Employee adds a line item, selecting category (from FR-1.3) which may pre-populate policy limits and receip
- Each line item captures date, category, amount, merchant, and currency
- Unit tests passed
- UI integrated successfully</t>
  </si>
  <si>
    <t xml:space="preserve">T-074</t>
  </si>
  <si>
    <t xml:space="preserve">Create ExpenseLineItem entity mapped to expense_line_item table</t>
  </si>
  <si>
    <t xml:space="preserve">Create the ExpenseLineItem entity/model class mapped 1:1 to the `expense_line_item` table, with fields for line_item_id, report_id FK, category_id FK, amount, currency, base_amount, expense_date, merchant, description, cost_center_id FK, client_billable_flag, status, required relationships/foreign keys, standard audit columns (created_at, updated_at), and validation annotations on mandatory fields (per: VAL-02, VAL-03, VAL-04 apply (amount, date, category-GL validity).; Mileage-category items require distance and rate fields instead of a flat amount, computed server-side.).</t>
  </si>
  <si>
    <t xml:space="preserve">expense_line_item table created (T-073)</t>
  </si>
  <si>
    <t xml:space="preserve">T-075</t>
  </si>
  <si>
    <t xml:space="preserve">Create ExpenseLineItemRepository with CRUD operations and custom queries</t>
  </si>
  <si>
    <t xml:space="preserve">Create ExpenseLineItemRepository exposing standard CRUD operations on `expense_line_item`, plus custom queries needed for Add/Edit Expense Line Item: Employee adds a line item, selecting category (from FR-1.3) which may pre-populate policy limits and receipt threshold.; Real-time policy validation (Policy Engine, Module 5) runs on save, surfacing warnings/blocks inline..</t>
  </si>
  <si>
    <t xml:space="preserve">ExpenseLineItem entity completed (T-074)</t>
  </si>
  <si>
    <t xml:space="preserve">T-076</t>
  </si>
  <si>
    <t xml:space="preserve">Implement Add/Edit Expense Line Item Service (business logic, rules &amp; validations)</t>
  </si>
  <si>
    <t xml:space="preserve">Implement the Add/Edit Expense Line Item service layer. Business flow: Employee adds a line item, selecting category (from FR-1.3) which may pre-populate policy limits and receipt threshold.; Real-time policy validation (Policy Engine, Module 5) runs on save, surfacing warnings/blocks inline.; Line item remains editable while the parent report is in Draft, Policy Rejected, or Query Raised status.. Validations to enforce: VAL-02, VAL-03, VAL-04 apply (amount, date, category-GL validity).; Mileage-category items require distance and rate fields instead of a flat amount, computed server-side.. Exception handling: Category deactivated after a draft line item referencing it was created — item is flagged for re-categorization before submission..</t>
  </si>
  <si>
    <t xml:space="preserve">ExpenseLineItemRepository completed (T-075)</t>
  </si>
  <si>
    <t xml:space="preserve">T-077</t>
  </si>
  <si>
    <t xml:space="preserve">Implement Add/Edit Expense Line Item REST APIs</t>
  </si>
  <si>
    <t xml:space="preserve">Implement the REST API(s) for Add/Edit Expense Line Item: POST /api/v1/expense-reports/{id}/line-items. Requests must enforce the validations and business rules implemented in the Add/Edit Expense Line Item service, and return errors per: Category deactivated after a draft line item referencing it was created — item is flagged for re-categorization before submission..</t>
  </si>
  <si>
    <t xml:space="preserve">Add/Edit Expense Line Item service completed (T-076)</t>
  </si>
  <si>
    <t xml:space="preserve">T-078</t>
  </si>
  <si>
    <t xml:space="preserve">Write unit tests for Add/Edit Expense Line Item service and APIs</t>
  </si>
  <si>
    <t xml:space="preserve">Write unit tests covering the Add/Edit Expense Line Item service logic, all validations (VAL-02, VAL-03, VAL-04 apply (amount, date, category-GL validity).; Mileage-category items require distance and rate fields instead of a flat amount, computed server-side.), exception paths, and the REST API contract (POST /api/v1/expense-reports/{id}/line-items).</t>
  </si>
  <si>
    <t xml:space="preserve">Add/Edit Expense Line Item APIs completed (T-077)</t>
  </si>
  <si>
    <t xml:space="preserve">T-079</t>
  </si>
  <si>
    <t xml:space="preserve">Build Add/Edit Expense Line Item screen/UI component</t>
  </si>
  <si>
    <t xml:space="preserve">Build the Add/Edit Expense Line Item screen/UI component. UI behaviour: Inline grid entry with autosave on blur; policy warnings shown as amber (soft) or red (hard-block) inline banners..</t>
  </si>
  <si>
    <t xml:space="preserve">Backend unit tests passed for Add/Edit Expense Line Item (T-078)</t>
  </si>
  <si>
    <t xml:space="preserve">T-080</t>
  </si>
  <si>
    <t xml:space="preserve">Integrate Add/Edit Expense Line Item APIs into UI and implement client-side validations</t>
  </si>
  <si>
    <t xml:space="preserve">Integrate POST /api/v1/expense-reports/{id}/line-items into the Add/Edit Expense Line Item screen; mirror the backend validations (VAL-02, VAL-03, VAL-04 apply (amount, date, category-GL validity).; Mileage-category items require distance and rate fields instead of a flat amount, computed server-side.) on the client, show loading states, and surface user-facing error messages for: Category deactivated after a draft line item referencing it was created — item is flagged for re-categorization before submission..</t>
  </si>
  <si>
    <t xml:space="preserve">Add/Edit Expense Line Item UI screen completed (T-079)</t>
  </si>
  <si>
    <t xml:space="preserve">T-081</t>
  </si>
  <si>
    <t xml:space="preserve">Perform UI testing for Add/Edit Expense Line Item</t>
  </si>
  <si>
    <t xml:space="preserve">Perform UI testing for the Add/Edit Expense Line Item screen: verify it behaves per the UI behaviour spec, all client-side validations trigger correctly, and API errors/loading states display as expected.</t>
  </si>
  <si>
    <t xml:space="preserve">Add/Edit Expense Line Item API integration completed (T-080)</t>
  </si>
  <si>
    <t xml:space="preserve">T-082</t>
  </si>
  <si>
    <t xml:space="preserve">Code review, documentation &amp; deployment for Add/Edit Expense Line Item</t>
  </si>
  <si>
    <t xml:space="preserve">Peer-review the Add/Edit Expense Line Item implementation (entity, repository, service, APIs, UI), update technical documentation, and deploy to the QA environment.</t>
  </si>
  <si>
    <t xml:space="preserve">UI testing passed for Add/Edit Expense Line Item (T-081)</t>
  </si>
  <si>
    <t xml:space="preserve">T-083</t>
  </si>
  <si>
    <t xml:space="preserve">EP02-S3 - Capture multi-currency line items with auto-conversion</t>
  </si>
  <si>
    <t xml:space="preserve">Design the `expense_line_item` database table to support Multi-Currency Expense Entry. Columns: line_item_id, report_id, category_id, expense_date, merchant_name, description, amount, currency_id, exchange_rate, base_amount, tax_amount, cost_center_id, project_id, client_billable, line_status, created_at, updated_at. Purpose: Support employees incurring expenses in currencies other than their home/base currency, particularly for international travel.</t>
  </si>
  <si>
    <t xml:space="preserve">Sprint 3</t>
  </si>
  <si>
    <t xml:space="preserve">2026-09-20</t>
  </si>
  <si>
    <t xml:space="preserve">Add/Edit Expense Line Item module completed (EP02-S2); Related: Exchange Rate Service Integration (EP13-S6)</t>
  </si>
  <si>
    <t xml:space="preserve">- Transaction currency must be in the organization's supported currency list (FR-1.4)
- VAL-09 exchange rate availability check applies per line item independently
- Employee selects transaction currency per line item (defaults to home currency but is overridable)
- A line item paid in a foreign currency stores both the original amount/currency and the home-currency equiv...
- Unit tests passed
- UI integrated successfully</t>
  </si>
  <si>
    <t xml:space="preserve">T-084</t>
  </si>
  <si>
    <t xml:space="preserve">Create the ExpenseLineItem entity/model class mapped 1:1 to the `expense_line_item` table, with fields for line_item_id, report_id, category_id, expense_date, merchant_name, description, amount, currency_id, exchange_rate, base_amount, tax_amount, cost_center_id, project_id, client_billable, line_status, created_at, updated_at, required relationships/foreign keys, standard audit columns (created_at, updated_at), and validation annotations on mandatory fields (per: Transaction currency must be in the organization's supported currency list (FR-1.4).; VAL-09 exchange rate availability check applies per line item independently.).</t>
  </si>
  <si>
    <t xml:space="preserve">expense_line_item table created (T-083)</t>
  </si>
  <si>
    <t xml:space="preserve">T-085</t>
  </si>
  <si>
    <t xml:space="preserve">Create ExpenseLineItemRepository exposing standard CRUD operations on `expense_line_item`, plus custom queries needed for Multi-Currency Expense Entry: Employee selects transaction currency per line item (defaults to home currency but is overridable).; On save, system looks up the applicable exchange rate and stores both native and base amounts..</t>
  </si>
  <si>
    <t xml:space="preserve">ExpenseLineItem entity completed (T-084)</t>
  </si>
  <si>
    <t xml:space="preserve">T-086</t>
  </si>
  <si>
    <t xml:space="preserve">Implement Multi-Currency Expense Entry Service (business logic, rules &amp; validations)</t>
  </si>
  <si>
    <t xml:space="preserve">Implement the Multi-Currency Expense Entry service layer. Business flow: Employee selects transaction currency per line item (defaults to home currency but is overridable).; On save, system looks up the applicable exchange rate and stores both native and base amounts.; Report-level totals are always presented in base currency, with an expandable per-line native-currency view.. Validations to enforce: Transaction currency must be in the organization's supported currency list (FR-1.4).; VAL-09 exchange rate availability check applies per line item independently.. Exception handling: Employee enters a currency not yet supported — system prompts to request Administrator enablement rather than silently rejecting..</t>
  </si>
  <si>
    <t xml:space="preserve">ExpenseLineItemRepository completed (T-085)</t>
  </si>
  <si>
    <t xml:space="preserve">T-087</t>
  </si>
  <si>
    <t xml:space="preserve">Implement Multi-Currency Expense Entry REST APIs</t>
  </si>
  <si>
    <t xml:space="preserve">Implement the REST API(s) for Multi-Currency Expense Entry: POST payload, PUT payload. Requests must enforce the validations and business rules implemented in the Multi-Currency Expense Entry service, and return errors per: Employee enters a currency not yet supported — system prompts to request Administrator enablement rather than silently rejecting..</t>
  </si>
  <si>
    <t xml:space="preserve">Multi-Currency Expense Entry service completed (T-086)</t>
  </si>
  <si>
    <t xml:space="preserve">T-088</t>
  </si>
  <si>
    <t xml:space="preserve">Write unit tests for Multi-Currency Expense Entry service and APIs</t>
  </si>
  <si>
    <t xml:space="preserve">Write unit tests covering the Multi-Currency Expense Entry service logic, all validations (Transaction currency must be in the organization's supported currency list (FR-1.4).; VAL-09 exchange rate availability check applies per line item independently.), exception paths, and the REST API contract (POST payload, PUT payload).</t>
  </si>
  <si>
    <t xml:space="preserve">Multi-Currency Expense Entry APIs completed (T-087)</t>
  </si>
  <si>
    <t xml:space="preserve">T-089</t>
  </si>
  <si>
    <t xml:space="preserve">Build Multi-Currency Expense Entry screen/UI component</t>
  </si>
  <si>
    <t xml:space="preserve">Build the Multi-Currency Expense Entry screen/UI component. UI behaviour: Currency selector with flag icon and live-computed base-currency preview shown alongside the entered amount..</t>
  </si>
  <si>
    <t xml:space="preserve">Backend unit tests passed for Multi-Currency Expense Entry (T-088)</t>
  </si>
  <si>
    <t xml:space="preserve">T-090</t>
  </si>
  <si>
    <t xml:space="preserve">Integrate Multi-Currency Expense Entry APIs into UI and implement client-side validations</t>
  </si>
  <si>
    <t xml:space="preserve">Integrate POST payload, PUT payload into the Multi-Currency Expense Entry screen; mirror the backend validations (Transaction currency must be in the organization's supported currency list (FR-1.4).; VAL-09 exchange rate availability check applies per line item independently.) on the client, show loading states, and surface user-facing error messages for: Employee enters a currency not yet supported — system prompts to request Administrator enablement rather than silently rejecting..</t>
  </si>
  <si>
    <t xml:space="preserve">Multi-Currency Expense Entry UI screen completed (T-089)</t>
  </si>
  <si>
    <t xml:space="preserve">T-091</t>
  </si>
  <si>
    <t xml:space="preserve">Perform UI testing for Multi-Currency Expense Entry</t>
  </si>
  <si>
    <t xml:space="preserve">Perform UI testing for the Multi-Currency Expense Entry screen: verify it behaves per the UI behaviour spec, all client-side validations trigger correctly, and API errors/loading states display as expected.</t>
  </si>
  <si>
    <t xml:space="preserve">Multi-Currency Expense Entry API integration completed (T-090)</t>
  </si>
  <si>
    <t xml:space="preserve">T-092</t>
  </si>
  <si>
    <t xml:space="preserve">Code review, documentation &amp; deployment for Multi-Currency Expense Entry</t>
  </si>
  <si>
    <t xml:space="preserve">Peer-review the Multi-Currency Expense Entry implementation (entity, repository, service, APIs, UI), update technical documentation, and deploy to the QA environment.</t>
  </si>
  <si>
    <t xml:space="preserve">UI testing passed for Multi-Currency Expense Entry (T-091)</t>
  </si>
  <si>
    <t xml:space="preserve">T-093</t>
  </si>
  <si>
    <t xml:space="preserve">EP02-S4 - Capture VAT/GST separately from net cost</t>
  </si>
  <si>
    <t xml:space="preserve">Multi-Currency Expense Entry module completed (EP02-S3)</t>
  </si>
  <si>
    <t xml:space="preserve">- VAL-02, VAL-03, VAL-04 apply (amount, date, category-GL validity)
- Mileage-category items require distance and rate fields instead of a flat amount, computed server-side
- Employee adds a line item, selecting category (from FR-1.3) which may pre-populate policy limits and receip
- Recoverable VAT/GST is stored as a distinct field from the net line-item cost
- Unit tests passed
- UI integrated successfully</t>
  </si>
  <si>
    <t xml:space="preserve">T-094</t>
  </si>
  <si>
    <t xml:space="preserve">expense_line_item table created (T-093)</t>
  </si>
  <si>
    <t xml:space="preserve">T-095</t>
  </si>
  <si>
    <t xml:space="preserve">ExpenseLineItem entity completed (T-094)</t>
  </si>
  <si>
    <t xml:space="preserve">T-096</t>
  </si>
  <si>
    <t xml:space="preserve">ExpenseLineItemRepository completed (T-095)</t>
  </si>
  <si>
    <t xml:space="preserve">T-097</t>
  </si>
  <si>
    <t xml:space="preserve">Add/Edit Expense Line Item service completed (T-096)</t>
  </si>
  <si>
    <t xml:space="preserve">T-098</t>
  </si>
  <si>
    <t xml:space="preserve">Add/Edit Expense Line Item APIs completed (T-097)</t>
  </si>
  <si>
    <t xml:space="preserve">T-099</t>
  </si>
  <si>
    <t xml:space="preserve">Backend unit tests passed for Add/Edit Expense Line Item (T-098)</t>
  </si>
  <si>
    <t xml:space="preserve">T-100</t>
  </si>
  <si>
    <t xml:space="preserve">Add/Edit Expense Line Item UI screen completed (T-099)</t>
  </si>
  <si>
    <t xml:space="preserve">T-101</t>
  </si>
  <si>
    <t xml:space="preserve">Add/Edit Expense Line Item API integration completed (T-100)</t>
  </si>
  <si>
    <t xml:space="preserve">T-102</t>
  </si>
  <si>
    <t xml:space="preserve">UI testing passed for Add/Edit Expense Line Item (T-101)</t>
  </si>
  <si>
    <t xml:space="preserve">T-103</t>
  </si>
  <si>
    <t xml:space="preserve">EP02-S5 - Submit expense report for approval</t>
  </si>
  <si>
    <t xml:space="preserve">Design approval_task database table</t>
  </si>
  <si>
    <t xml:space="preserve">Design the `approval_task` database table to support Submit Expense Report for Approval. Columns: task_id, report_id, approver_id, level, due_at, status. Purpose: Transition a completed Draft report into the approval pipeline after passing all gating validations.</t>
  </si>
  <si>
    <t xml:space="preserve">Add/Edit Expense Line Item module completed (EP02-S4)</t>
  </si>
  <si>
    <t xml:space="preserve">- VAL-01 (at least one line item), VAL-06 (receipt mandation), VAL-08 (approval matrix configured), VAL-09 (e
- Employee triggers Submit; system re-validates every line item (not just those changed since last save)
- Submitting moves the report out of Draft and creates an entry in the Manager's approval queue
- Unit tests passed
- UI integrated successfully</t>
  </si>
  <si>
    <t xml:space="preserve">T-104</t>
  </si>
  <si>
    <t xml:space="preserve">Create ApprovalTask entity mapped to approval_task table</t>
  </si>
  <si>
    <t xml:space="preserve">Create the ApprovalTask entity/model class mapped 1:1 to the `approval_task` table, with fields for task_id, report_id, approver_id, level, due_at, status, required relationships/foreign keys, standard audit columns (created_at, updated_at), and validation annotations on mandatory fields (per: VAL-01 (at least one line item), VAL-06 (receipt mandation), VAL-08 (approval matrix configured), VAL-09 (exchange rate availability).).</t>
  </si>
  <si>
    <t xml:space="preserve">approval_task table created (T-103)</t>
  </si>
  <si>
    <t xml:space="preserve">T-105</t>
  </si>
  <si>
    <t xml:space="preserve">Create ApprovalTaskRepository with CRUD operations and custom queries</t>
  </si>
  <si>
    <t xml:space="preserve">Create ApprovalTaskRepository exposing standard CRUD operations on `approval_task`, plus custom queries needed for Submit Expense Report for Approval: Employee triggers Submit; system re-validates every line item (not just those changed since last save).; If all validations pass, report status moves to Pending Manager Approval and the approval matrix is queried to determine the first-level approver..</t>
  </si>
  <si>
    <t xml:space="preserve">ApprovalTask entity completed (T-104)</t>
  </si>
  <si>
    <t xml:space="preserve">T-106</t>
  </si>
  <si>
    <t xml:space="preserve">Implement Submit Expense Report for Approval Service (business logic, rules &amp; validations)</t>
  </si>
  <si>
    <t xml:space="preserve">Implement the Submit Expense Report for Approval service layer. Business flow: Employee triggers Submit; system re-validates every line item (not just those changed since last save).; If all validations pass, report status moves to Pending Manager Approval and the approval matrix is queried to determine the first-level approver.; If any hard validation fails, submission is blocked (ERR-01) with a consolidated list of violations.. Validations to enforce: VAL-01 (at least one line item), VAL-06 (receipt mandation), VAL-08 (approval matrix configured), VAL-09 (exchange rate availability).. Exception handling: Approver determined by the matrix is inactive/on leave — system applies configured delegation or fallback routing (see FR-6.3)..</t>
  </si>
  <si>
    <t xml:space="preserve">ApprovalTaskRepository completed (T-105)</t>
  </si>
  <si>
    <t xml:space="preserve">T-107</t>
  </si>
  <si>
    <t xml:space="preserve">Implement Submit Expense Report for Approval REST APIs</t>
  </si>
  <si>
    <t xml:space="preserve">Implement the REST API(s) for Submit Expense Report for Approval: POST /api/v1/expense-reports/{id}/submit. Requests must enforce the validations and business rules implemented in the Submit Expense Report for Approval service, and return errors per: Approver determined by the matrix is inactive/on leave — system applies configured delegation or fallback routing (see FR-6.3)..</t>
  </si>
  <si>
    <t xml:space="preserve">Submit Expense Report for Approval service completed (T-106)</t>
  </si>
  <si>
    <t xml:space="preserve">T-108</t>
  </si>
  <si>
    <t xml:space="preserve">Write unit tests for Submit Expense Report for Approval service and APIs</t>
  </si>
  <si>
    <t xml:space="preserve">Write unit tests covering the Submit Expense Report for Approval service logic, all validations (VAL-01 (at least one line item), VAL-06 (receipt mandation), VAL-08 (approval matrix configured), VAL-09 (exchange rate availability).), exception paths, and the REST API contract (POST /api/v1/expense-reports/{id}/submit).</t>
  </si>
  <si>
    <t xml:space="preserve">Submit Expense Report for Approval APIs completed (T-107)</t>
  </si>
  <si>
    <t xml:space="preserve">T-109</t>
  </si>
  <si>
    <t xml:space="preserve">Build Submit Expense Report for Approval screen/UI component</t>
  </si>
  <si>
    <t xml:space="preserve">Build the Submit Expense Report for Approval screen/UI component. UI behaviour: Review &amp; Submit screen shows a summary table with per-line-item status icons; Submit button disabled until all hard blocks are cleared..</t>
  </si>
  <si>
    <t xml:space="preserve">Backend unit tests passed for Submit Expense Report for Approval (T-108)</t>
  </si>
  <si>
    <t xml:space="preserve">T-110</t>
  </si>
  <si>
    <t xml:space="preserve">Integrate Submit Expense Report for Approval APIs into UI and implement client-side validations</t>
  </si>
  <si>
    <t xml:space="preserve">Integrate POST /api/v1/expense-reports/{id}/submit into the Submit Expense Report for Approval screen; mirror the backend validations (VAL-01 (at least one line item), VAL-06 (receipt mandation), VAL-08 (approval matrix configured), VAL-09 (exchange rate availability).) on the client, show loading states, and surface user-facing error messages for: Approver determined by the matrix is inactive/on leave — system applies configured delegation or fallback routing (see FR-6.3)..</t>
  </si>
  <si>
    <t xml:space="preserve">Submit Expense Report for Approval UI screen completed (T-109)</t>
  </si>
  <si>
    <t xml:space="preserve">T-111</t>
  </si>
  <si>
    <t xml:space="preserve">Perform UI testing for Submit Expense Report for Approval</t>
  </si>
  <si>
    <t xml:space="preserve">Perform UI testing for the Submit Expense Report for Approval screen: verify it behaves per the UI behaviour spec, all client-side validations trigger correctly, and API errors/loading states display as expected.</t>
  </si>
  <si>
    <t xml:space="preserve">Submit Expense Report for Approval API integration completed (T-110)</t>
  </si>
  <si>
    <t xml:space="preserve">T-112</t>
  </si>
  <si>
    <t xml:space="preserve">Code review, documentation &amp; deployment for Submit Expense Report for Approval</t>
  </si>
  <si>
    <t xml:space="preserve">Peer-review the Submit Expense Report for Approval implementation (entity, repository, service, APIs, UI), update technical documentation, and deploy to the QA environment.</t>
  </si>
  <si>
    <t xml:space="preserve">UI testing passed for Submit Expense Report for Approval (T-111)</t>
  </si>
  <si>
    <t xml:space="preserve">T-113</t>
  </si>
  <si>
    <t xml:space="preserve">EP02-S6 - View report and line-item status history</t>
  </si>
  <si>
    <t xml:space="preserve">Design the `expense_report` database table to support Recall/Withdraw Submitted Report. Columns: report_id, report_number, employee_id, title, business_purpose, cost_center_id, report_status, currency_id, total_amount, reimbursable_amount, submitted_at, approved_at, closed_at, created_at, updated_at. Purpose: Allow an employee to withdraw a report from the approval queue before any approver has acted on it, correcting an accidental or premature submission.</t>
  </si>
  <si>
    <t xml:space="preserve">Sprint 4</t>
  </si>
  <si>
    <t xml:space="preserve">2026-10-04</t>
  </si>
  <si>
    <t xml:space="preserve">Submit Expense Report for Approval module completed (EP02-S5)</t>
  </si>
  <si>
    <t xml:space="preserve">- Recall is only permitted while the current-level approval task status is 'Pending' (not yet actioned)
- Employee selects 'Recall' from a report in Pending Manager Approval status
- Employee can see the current status and full history of status changes for any report they submitted
- Unit tests passed
- UI integrated successfully</t>
  </si>
  <si>
    <t xml:space="preserve">T-114</t>
  </si>
  <si>
    <t xml:space="preserve">Create the ExpenseReport entity/model class mapped 1:1 to the `expense_report` table, with fields for report_id, report_number, employee_id, title, business_purpose, cost_center_id, report_status, currency_id, total_amount, reimbursable_amount, submitted_at, approved_at, closed_at, created_at, updated_at, required relationships/foreign keys, standard audit columns (created_at, updated_at), and validation annotations on mandatory fields (per: Recall is only permitted while the current-level approval task status is 'Pending' (not yet actioned).).</t>
  </si>
  <si>
    <t xml:space="preserve">expense_report table created (T-113)</t>
  </si>
  <si>
    <t xml:space="preserve">T-115</t>
  </si>
  <si>
    <t xml:space="preserve">Create ExpenseReportRepository exposing standard CRUD operations on `expense_report`, plus custom queries needed for Recall/Withdraw Submitted Report: Employee selects 'Recall' from a report in Pending Manager Approval status.; System checks that no approval action has yet been recorded against the current pending task..</t>
  </si>
  <si>
    <t xml:space="preserve">ExpenseReport entity completed (T-114)</t>
  </si>
  <si>
    <t xml:space="preserve">T-116</t>
  </si>
  <si>
    <t xml:space="preserve">Implement Recall/Withdraw Submitted Report Service (business logic, rules &amp; validations)</t>
  </si>
  <si>
    <t xml:space="preserve">Implement the Recall/Withdraw Submitted Report service layer. Business flow: Employee selects 'Recall' from a report in Pending Manager Approval status.; System checks that no approval action has yet been recorded against the current pending task.; If eligible, report reverts to Draft; the approval task is cancelled (not deleted, for audit continuity).. Validations to enforce: Recall is only permitted while the current-level approval task status is 'Pending' (not yet actioned).. Exception handling: Approver actions the task in the same moment the employee attempts recall — race condition resolved via optimistic locking; the earlier database transaction to commit wins, the other is rejected with a clear message..</t>
  </si>
  <si>
    <t xml:space="preserve">ExpenseReportRepository completed (T-115)</t>
  </si>
  <si>
    <t xml:space="preserve">T-117</t>
  </si>
  <si>
    <t xml:space="preserve">Implement Recall/Withdraw Submitted Report REST APIs</t>
  </si>
  <si>
    <t xml:space="preserve">Implement the REST API(s) for Recall/Withdraw Submitted Report: POST /api/v1/expense-reports/{id}/recall. Requests must enforce the validations and business rules implemented in the Recall/Withdraw Submitted Report service, and return errors per: Approver actions the task in the same moment the employee attempts recall — race condition resolved via optimistic locking; the earlier database transaction to commit wins, the other is rejected with a clear message..</t>
  </si>
  <si>
    <t xml:space="preserve">Recall/Withdraw Submitted Report service completed (T-116)</t>
  </si>
  <si>
    <t xml:space="preserve">T-118</t>
  </si>
  <si>
    <t xml:space="preserve">Write unit tests for Recall/Withdraw Submitted Report service and APIs</t>
  </si>
  <si>
    <t xml:space="preserve">Write unit tests covering the Recall/Withdraw Submitted Report service logic, all validations (Recall is only permitted while the current-level approval task status is 'Pending' (not yet actioned).), exception paths, and the REST API contract (POST /api/v1/expense-reports/{id}/recall).</t>
  </si>
  <si>
    <t xml:space="preserve">Recall/Withdraw Submitted Report APIs completed (T-117)</t>
  </si>
  <si>
    <t xml:space="preserve">T-119</t>
  </si>
  <si>
    <t xml:space="preserve">Build Recall/Withdraw Submitted Report screen/UI component</t>
  </si>
  <si>
    <t xml:space="preserve">Build the Recall/Withdraw Submitted Report screen/UI component. UI behaviour: Recall button visible only in Pending Manager Approval status; confirmation modal explains the report will require re-submission..</t>
  </si>
  <si>
    <t xml:space="preserve">Backend unit tests passed for Recall/Withdraw Submitted Report (T-118)</t>
  </si>
  <si>
    <t xml:space="preserve">T-120</t>
  </si>
  <si>
    <t xml:space="preserve">Integrate Recall/Withdraw Submitted Report APIs into UI and implement client-side validations</t>
  </si>
  <si>
    <t xml:space="preserve">Integrate POST /api/v1/expense-reports/{id}/recall into the Recall/Withdraw Submitted Report screen; mirror the backend validations (Recall is only permitted while the current-level approval task status is 'Pending' (not yet actioned).) on the client, show loading states, and surface user-facing error messages for: Approver actions the task in the same moment the employee attempts recall — race condition resolved via optimistic locking; the earlier database transaction to commit wins, the other is rejected with a clear message..</t>
  </si>
  <si>
    <t xml:space="preserve">Recall/Withdraw Submitted Report UI screen completed (T-119)</t>
  </si>
  <si>
    <t xml:space="preserve">T-121</t>
  </si>
  <si>
    <t xml:space="preserve">Perform UI testing for Recall/Withdraw Submitted Report</t>
  </si>
  <si>
    <t xml:space="preserve">Perform UI testing for the Recall/Withdraw Submitted Report screen: verify it behaves per the UI behaviour spec, all client-side validations trigger correctly, and API errors/loading states display as expected.</t>
  </si>
  <si>
    <t xml:space="preserve">Recall/Withdraw Submitted Report API integration completed (T-120)</t>
  </si>
  <si>
    <t xml:space="preserve">T-122</t>
  </si>
  <si>
    <t xml:space="preserve">Code review, documentation &amp; deployment for Recall/Withdraw Submitted Report</t>
  </si>
  <si>
    <t xml:space="preserve">Peer-review the Recall/Withdraw Submitted Report implementation (entity, repository, service, APIs, UI), update technical documentation, and deploy to the QA environment.</t>
  </si>
  <si>
    <t xml:space="preserve">UI testing passed for Recall/Withdraw Submitted Report (T-121)</t>
  </si>
  <si>
    <t xml:space="preserve">T-123</t>
  </si>
  <si>
    <t xml:space="preserve">EP09 - Cost Center &amp; Expense Allocation Management</t>
  </si>
  <si>
    <t xml:space="preserve">EP09-S1 - Tag a line item to a single cost center, department or project</t>
  </si>
  <si>
    <t xml:space="preserve">Design the `expense_line_item` database table to support Single Cost Center Allocation. Columns: line_item_id, report_id, category_id, expense_date, merchant_name, description, amount, currency_id, exchange_rate, base_amount, tax_amount, cost_center_id, project_id, client_billable, line_status, created_at, updated_at. Purpose: Default and simplest allocation mode where an entire line item's cost is attributed to one cost center.</t>
  </si>
  <si>
    <t xml:space="preserve">- Selected cost center must be Active as of the expense date
- Employee selects/accepts the default cost center per line item
- Every line item can be tagged to exactly one cost center, department, or project by default
- Unit tests passed
- UI integrated successfully</t>
  </si>
  <si>
    <t xml:space="preserve">T-124</t>
  </si>
  <si>
    <t xml:space="preserve">Create the ExpenseLineItem entity/model class mapped 1:1 to the `expense_line_item` table, with fields for line_item_id, report_id, category_id, expense_date, merchant_name, description, amount, currency_id, exchange_rate, base_amount, tax_amount, cost_center_id, project_id, client_billable, line_status, created_at, updated_at, required relationships/foreign keys, standard audit columns (created_at, updated_at), and validation annotations on mandatory fields (per: Selected cost center must be Active as of the expense date.).</t>
  </si>
  <si>
    <t xml:space="preserve">expense_line_item table created (T-123)</t>
  </si>
  <si>
    <t xml:space="preserve">T-125</t>
  </si>
  <si>
    <t xml:space="preserve">Create ExpenseLineItemRepository exposing standard CRUD operations on `expense_line_item`, plus custom queries needed for Single Cost Center Allocation: Employee selects/accepts the default cost center per line item.; Selected cost center feeds real-time budget consumption tracking (FR-9.3) and report-level cost center rollup..</t>
  </si>
  <si>
    <t xml:space="preserve">ExpenseLineItem entity completed (T-124)</t>
  </si>
  <si>
    <t xml:space="preserve">T-126</t>
  </si>
  <si>
    <t xml:space="preserve">Implement Single Cost Center Allocation Service (business logic, rules &amp; validations)</t>
  </si>
  <si>
    <t xml:space="preserve">Implement the Single Cost Center Allocation service layer. Business flow: Employee selects/accepts the default cost center per line item.; Selected cost center feeds real-time budget consumption tracking (FR-9.3) and report-level cost center rollup.. Validations to enforce: Selected cost center must be Active as of the expense date.. Exception handling: Employee's home cost center is deactivated between report creation and submission — system prompts re-selection before submission is permitted..</t>
  </si>
  <si>
    <t xml:space="preserve">ExpenseLineItemRepository completed (T-125)</t>
  </si>
  <si>
    <t xml:space="preserve">T-127</t>
  </si>
  <si>
    <t xml:space="preserve">Implement Single Cost Center Allocation REST APIs</t>
  </si>
  <si>
    <t xml:space="preserve">Implement the REST API(s) for Single Cost Center Allocation: POST payloads, PUT payloads. Requests must enforce the validations and business rules implemented in the Single Cost Center Allocation service, and return errors per: Employee's home cost center is deactivated between report creation and submission — system prompts re-selection before submission is permitted..</t>
  </si>
  <si>
    <t xml:space="preserve">Single Cost Center Allocation service completed (T-126)</t>
  </si>
  <si>
    <t xml:space="preserve">T-128</t>
  </si>
  <si>
    <t xml:space="preserve">Write unit tests for Single Cost Center Allocation service and APIs</t>
  </si>
  <si>
    <t xml:space="preserve">Write unit tests covering the Single Cost Center Allocation service logic, all validations (Selected cost center must be Active as of the expense date.), exception paths, and the REST API contract (POST payloads, PUT payloads).</t>
  </si>
  <si>
    <t xml:space="preserve">Single Cost Center Allocation APIs completed (T-127)</t>
  </si>
  <si>
    <t xml:space="preserve">T-129</t>
  </si>
  <si>
    <t xml:space="preserve">Build Single Cost Center Allocation screen/UI component</t>
  </si>
  <si>
    <t xml:space="preserve">Build the Single Cost Center Allocation screen/UI component. UI behaviour: Simple dropdown/search selector defaulting to the employee's home cost center..</t>
  </si>
  <si>
    <t xml:space="preserve">Backend unit tests passed for Single Cost Center Allocation (T-128)</t>
  </si>
  <si>
    <t xml:space="preserve">T-130</t>
  </si>
  <si>
    <t xml:space="preserve">Integrate Single Cost Center Allocation APIs into UI and implement client-side validations</t>
  </si>
  <si>
    <t xml:space="preserve">Integrate POST payloads, PUT payloads into the Single Cost Center Allocation screen; mirror the backend validations (Selected cost center must be Active as of the expense date.) on the client, show loading states, and surface user-facing error messages for: Employee's home cost center is deactivated between report creation and submission — system prompts re-selection before submission is permitted..</t>
  </si>
  <si>
    <t xml:space="preserve">Single Cost Center Allocation UI screen completed (T-129)</t>
  </si>
  <si>
    <t xml:space="preserve">T-131</t>
  </si>
  <si>
    <t xml:space="preserve">Perform UI testing for Single Cost Center Allocation</t>
  </si>
  <si>
    <t xml:space="preserve">Perform UI testing for the Single Cost Center Allocation screen: verify it behaves per the UI behaviour spec, all client-side validations trigger correctly, and API errors/loading states display as expected.</t>
  </si>
  <si>
    <t xml:space="preserve">Single Cost Center Allocation API integration completed (T-130)</t>
  </si>
  <si>
    <t xml:space="preserve">T-132</t>
  </si>
  <si>
    <t xml:space="preserve">Code review, documentation &amp; deployment for Single Cost Center Allocation</t>
  </si>
  <si>
    <t xml:space="preserve">Peer-review the Single Cost Center Allocation implementation (entity, repository, service, APIs, UI), update technical documentation, and deploy to the QA environment.</t>
  </si>
  <si>
    <t xml:space="preserve">UI testing passed for Single Cost Center Allocation (T-131)</t>
  </si>
  <si>
    <t xml:space="preserve">T-133</t>
  </si>
  <si>
    <t xml:space="preserve">EP09-S2 - Split allocation across multiple cost centers</t>
  </si>
  <si>
    <t xml:space="preserve">Design cost_allocation database table</t>
  </si>
  <si>
    <t xml:space="preserve">Design the `cost_allocation` database table to support Split Allocation Across Cost Centers. Columns: allocation_id, line_item_id FK, cost_center_id FK, percentage, amount. Purpose: Support expenses that benefit multiple departments/projects and must be proportionally distributed for accurate financial reporting.</t>
  </si>
  <si>
    <t xml:space="preserve">Single Cost Center Allocation module completed (EP09-S1)</t>
  </si>
  <si>
    <t xml:space="preserve">- BR-09: sum of splits must equal 100%/full amount within a 0.01 base-currency tolerance
- Employee opts to split a line item, adding two or more allocation rows
- A line item's cost can be divided across two or more cost centers/departments/projects by percentage or fix...
- Unit tests passed
- UI integrated successfully</t>
  </si>
  <si>
    <t xml:space="preserve">T-134</t>
  </si>
  <si>
    <t xml:space="preserve">Create CostAllocation entity mapped to cost_allocation table</t>
  </si>
  <si>
    <t xml:space="preserve">Create the CostAllocation entity/model class mapped 1:1 to the `cost_allocation` table, with fields for allocation_id, line_item_id FK, cost_center_id FK, percentage, amount, required relationships/foreign keys, standard audit columns (created_at, updated_at), and validation annotations on mandatory fields (per: BR-09: sum of splits must equal 100%/full amount within a 0.01 base-currency tolerance.).</t>
  </si>
  <si>
    <t xml:space="preserve">cost_allocation table created (T-133)</t>
  </si>
  <si>
    <t xml:space="preserve">T-135</t>
  </si>
  <si>
    <t xml:space="preserve">Create CostAllocationRepository with CRUD operations and custom queries</t>
  </si>
  <si>
    <t xml:space="preserve">Create CostAllocationRepository exposing standard CRUD operations on `cost_allocation`, plus custom queries needed for Split Allocation Across Cost Centers: Employee opts to split a line item, adding two or more allocation rows.; System auto-balances the remaining percentage/amount as rows are added to reduce manual arithmetic errors..</t>
  </si>
  <si>
    <t xml:space="preserve">CostAllocation entity completed (T-134)</t>
  </si>
  <si>
    <t xml:space="preserve">T-136</t>
  </si>
  <si>
    <t xml:space="preserve">Implement Split Allocation Across Cost Centers Service (business logic, rules &amp; validations)</t>
  </si>
  <si>
    <t xml:space="preserve">Implement the Split Allocation Across Cost Centers service layer. Business flow: Employee opts to split a line item, adding two or more allocation rows.; System auto-balances the remaining percentage/amount as rows are added to reduce manual arithmetic errors.. Validations to enforce: BR-09: sum of splits must equal 100%/full amount within a 0.01 base-currency tolerance.. Exception handling: Employee attempts to submit with an unbalanced split — blocked with the exact shortfall/overage amount displayed..</t>
  </si>
  <si>
    <t xml:space="preserve">CostAllocationRepository completed (T-135)</t>
  </si>
  <si>
    <t xml:space="preserve">T-137</t>
  </si>
  <si>
    <t xml:space="preserve">Implement Split Allocation Across Cost Centers REST APIs</t>
  </si>
  <si>
    <t xml:space="preserve">Implement the REST API(s) for Split Allocation Across Cost Centers: POST /api/v1/expense-reports/{id}/line-items/{lineItemId}/allocations. Requests must enforce the validations and business rules implemented in the Split Allocation Across Cost Centers service, and return errors per: Employee attempts to submit with an unbalanced split — blocked with the exact shortfall/overage amount displayed..</t>
  </si>
  <si>
    <t xml:space="preserve">Split Allocation Across Cost Centers service completed (T-136)</t>
  </si>
  <si>
    <t xml:space="preserve">T-138</t>
  </si>
  <si>
    <t xml:space="preserve">Write unit tests for Split Allocation Across Cost Centers service and APIs</t>
  </si>
  <si>
    <t xml:space="preserve">Write unit tests covering the Split Allocation Across Cost Centers service logic, all validations (BR-09: sum of splits must equal 100%/full amount within a 0.01 base-currency tolerance.), exception paths, and the REST API contract (POST /api/v1/expense-reports/{id}/line-items/{lineItemId}/allocations).</t>
  </si>
  <si>
    <t xml:space="preserve">Split Allocation Across Cost Centers APIs completed (T-137)</t>
  </si>
  <si>
    <t xml:space="preserve">T-139</t>
  </si>
  <si>
    <t xml:space="preserve">Build Split Allocation Across Cost Centers screen/UI component</t>
  </si>
  <si>
    <t xml:space="preserve">Build the Split Allocation Across Cost Centers screen/UI component. UI behaviour: Expandable split panel with an auto-balancing 'remaining' indicator and quick '50/50' or 'equal split' presets..</t>
  </si>
  <si>
    <t xml:space="preserve">Backend unit tests passed for Split Allocation Across Cost Centers (T-138)</t>
  </si>
  <si>
    <t xml:space="preserve">T-140</t>
  </si>
  <si>
    <t xml:space="preserve">Integrate Split Allocation Across Cost Centers APIs into UI and implement client-side validations</t>
  </si>
  <si>
    <t xml:space="preserve">Integrate POST /api/v1/expense-reports/{id}/line-items/{lineItemId}/allocations into the Split Allocation Across Cost Centers screen; mirror the backend validations (BR-09: sum of splits must equal 100%/full amount within a 0.01 base-currency tolerance.) on the client, show loading states, and surface user-facing error messages for: Employee attempts to submit with an unbalanced split — blocked with the exact shortfall/overage amount displayed..</t>
  </si>
  <si>
    <t xml:space="preserve">Split Allocation Across Cost Centers UI screen completed (T-139)</t>
  </si>
  <si>
    <t xml:space="preserve">T-141</t>
  </si>
  <si>
    <t xml:space="preserve">Perform UI testing for Split Allocation Across Cost Centers</t>
  </si>
  <si>
    <t xml:space="preserve">Perform UI testing for the Split Allocation Across Cost Centers screen: verify it behaves per the UI behaviour spec, all client-side validations trigger correctly, and API errors/loading states display as expected.</t>
  </si>
  <si>
    <t xml:space="preserve">Split Allocation Across Cost Centers API integration completed (T-140)</t>
  </si>
  <si>
    <t xml:space="preserve">T-142</t>
  </si>
  <si>
    <t xml:space="preserve">Code review, documentation &amp; deployment for Split Allocation Across Cost Centers</t>
  </si>
  <si>
    <t xml:space="preserve">Peer-review the Split Allocation Across Cost Centers implementation (entity, repository, service, APIs, UI), update technical documentation, and deploy to the QA environment.</t>
  </si>
  <si>
    <t xml:space="preserve">UI testing passed for Split Allocation Across Cost Centers (T-141)</t>
  </si>
  <si>
    <t xml:space="preserve">T-143</t>
  </si>
  <si>
    <t xml:space="preserve">EP09-S3 - Validate split allocation totals 100% before submission</t>
  </si>
  <si>
    <t xml:space="preserve">Design cost_center_budget database table</t>
  </si>
  <si>
    <t xml:space="preserve">Design the `cost_center_budget` database table to support Allocation Validation Against Budget. Columns: budget_id, cost_center_id, fiscal_year, budget_amount, available_budget, created_at, updated_at. Purpose: Provide visibility (and optionally enforcement) of cost center budget consumption at the point of expense entry, not only in retrospective reporting.</t>
  </si>
  <si>
    <t xml:space="preserve">Split Allocation Across Cost Centers module completed (EP09-S2)</t>
  </si>
  <si>
    <t xml:space="preserve">- Budget consumption calculation must distinguish between Pending (submitted, not yet verified) and Verified 
- As line items are added/verified, consumption is aggregated per cost center per budget period
- A report cannot be submitted while any line item's split allocation totals more or less than 100% of its am...
- Unit tests passed
- UI integrated successfully</t>
  </si>
  <si>
    <t xml:space="preserve">T-144</t>
  </si>
  <si>
    <t xml:space="preserve">Create CostCenterBudget entity mapped to cost_center_budget table</t>
  </si>
  <si>
    <t xml:space="preserve">Create the CostCenterBudget entity/model class mapped 1:1 to the `cost_center_budget` table, with fields for budget_id, cost_center_id, fiscal_year, budget_amount, available_budget, created_at, updated_at, required relationships/foreign keys, standard audit columns (created_at, updated_at), and validation annotations on mandatory fields (per: Budget consumption calculation must distinguish between Pending (submitted, not yet verified) and Verified amounts to avoid double-counting or under-counting available budget.).</t>
  </si>
  <si>
    <t xml:space="preserve">cost_center_budget table created (T-143)</t>
  </si>
  <si>
    <t xml:space="preserve">T-145</t>
  </si>
  <si>
    <t xml:space="preserve">Create CostCenterBudgetRepository with CRUD operations and custom queries</t>
  </si>
  <si>
    <t xml:space="preserve">Create CostCenterBudgetRepository exposing standard CRUD operations on `cost_center_budget`, plus custom queries needed for Allocation Validation Against Budget: As line items are added/verified, consumption is aggregated per cost center per budget period.; If configured as 'enforcing', submissions that would breach the remaining budget are treated as a policy warning/block per FR-5.1 rule configuration; if configured as 'advisory', only a visual indicator is shown..</t>
  </si>
  <si>
    <t xml:space="preserve">CostCenterBudget entity completed (T-144)</t>
  </si>
  <si>
    <t xml:space="preserve">T-146</t>
  </si>
  <si>
    <t xml:space="preserve">Implement Allocation Validation Against Budget Service (business logic, rules &amp; validations)</t>
  </si>
  <si>
    <t xml:space="preserve">Implement the Allocation Validation Against Budget service layer. Business flow: As line items are added/verified, consumption is aggregated per cost center per budget period.; If configured as 'enforcing', submissions that would breach the remaining budget are treated as a policy warning/block per FR-5.1 rule configuration; if configured as 'advisory', only a visual indicator is shown.. Validations to enforce: Budget consumption calculation must distinguish between Pending (submitted, not yet verified) and Verified amounts to avoid double-counting or under-counting available budget.. Exception handling: Multiple reports submitted concurrently could theoretically over-commit a near-exhausted budget — system uses optimistic, near-real-time aggregation and flags true over-commitment at Finance Verification as a final check rather than attempting perfect real-time locking, which would harm submission performance (NFR-01/NFR-02 trade-off, documented assumption)..</t>
  </si>
  <si>
    <t xml:space="preserve">CostCenterBudgetRepository completed (T-145)</t>
  </si>
  <si>
    <t xml:space="preserve">T-147</t>
  </si>
  <si>
    <t xml:space="preserve">Implement Allocation Validation Against Budget REST APIs</t>
  </si>
  <si>
    <t xml:space="preserve">Implement the REST API(s) for Allocation Validation Against Budget: GET /api/v1/cost-centers/{id}/budget-consumption?period=. Requests must enforce the validations and business rules implemented in the Allocation Validation Against Budget service, and return errors per: Multiple reports submitted concurrently could theoretically over-commit a near-exhausted budget — system uses optimistic, near-real-time aggregation and flags true over-commitment at Finance Verification as a final check rather than attempting perfect real-time locking, which would harm submission performance (NFR-01/NFR-02 trade-off, documented assumption)..</t>
  </si>
  <si>
    <t xml:space="preserve">Allocation Validation Against Budget service completed (T-146)</t>
  </si>
  <si>
    <t xml:space="preserve">T-148</t>
  </si>
  <si>
    <t xml:space="preserve">Write unit tests for Allocation Validation Against Budget service and APIs</t>
  </si>
  <si>
    <t xml:space="preserve">Write unit tests covering the Allocation Validation Against Budget service logic, all validations (Budget consumption calculation must distinguish between Pending (submitted, not yet verified) and Verified amounts to avoid double-counting or under-counting available budget.), exception paths, and the REST API contract (GET /api/v1/cost-centers/{id}/budget-consumption?period=).</t>
  </si>
  <si>
    <t xml:space="preserve">Allocation Validation Against Budget APIs completed (T-147)</t>
  </si>
  <si>
    <t xml:space="preserve">T-149</t>
  </si>
  <si>
    <t xml:space="preserve">Build Allocation Validation Against Budget screen/UI component</t>
  </si>
  <si>
    <t xml:space="preserve">Build the Allocation Validation Against Budget screen/UI component. UI behaviour: Budget gauge (consumed/remaining) shown to Department Head and Finance; optionally to employees at a summary level..</t>
  </si>
  <si>
    <t xml:space="preserve">Backend unit tests passed for Allocation Validation Against Budget (T-148)</t>
  </si>
  <si>
    <t xml:space="preserve">T-150</t>
  </si>
  <si>
    <t xml:space="preserve">Integrate Allocation Validation Against Budget APIs into UI and implement client-side validations</t>
  </si>
  <si>
    <t xml:space="preserve">Integrate GET /api/v1/cost-centers/{id}/budget-consumption?period= into the Allocation Validation Against Budget screen; mirror the backend validations (Budget consumption calculation must distinguish between Pending (submitted, not yet verified) and Verified amounts to avoid double-counting or under-counting available budget.) on the client, show loading states, and surface user-facing error messages for: Multiple reports submitted concurrently could theoretically over-commit a near-exhausted budget — system uses optimistic, near-real-time aggregation and flags true over-commitment at Finance Verification as a final check rather than attempting perfect real-time locking, which would harm submission performance (NFR-01/NFR-02 trade-off, documented assumption)..</t>
  </si>
  <si>
    <t xml:space="preserve">Allocation Validation Against Budget UI screen completed (T-149)</t>
  </si>
  <si>
    <t xml:space="preserve">T-151</t>
  </si>
  <si>
    <t xml:space="preserve">Perform UI testing for Allocation Validation Against Budget</t>
  </si>
  <si>
    <t xml:space="preserve">Perform UI testing for the Allocation Validation Against Budget screen: verify it behaves per the UI behaviour spec, all client-side validations trigger correctly, and API errors/loading states display as expected.</t>
  </si>
  <si>
    <t xml:space="preserve">Allocation Validation Against Budget API integration completed (T-150)</t>
  </si>
  <si>
    <t xml:space="preserve">T-152</t>
  </si>
  <si>
    <t xml:space="preserve">Code review, documentation &amp; deployment for Allocation Validation Against Budget</t>
  </si>
  <si>
    <t xml:space="preserve">Peer-review the Allocation Validation Against Budget implementation (entity, repository, service, APIs, UI), update technical documentation, and deploy to the QA environment.</t>
  </si>
  <si>
    <t xml:space="preserve">UI testing passed for Allocation Validation Against Budget (T-151)</t>
  </si>
  <si>
    <t xml:space="preserve">T-153</t>
  </si>
  <si>
    <t xml:space="preserve">EP09-S4 - Allocation summary view for managers and Finance</t>
  </si>
  <si>
    <t xml:space="preserve">Design the `cost_allocation` database table to support Allocation Validation Against Budget. Columns: allocation_id, line_item_id, cost_center_id, allocation_percentage, allocation_amount, created_at. Purpose: Provide visibility (and optionally enforcement) of cost center budget consumption at the point of expense entry, not only in retrospective reporting.</t>
  </si>
  <si>
    <t xml:space="preserve">Sprint 5</t>
  </si>
  <si>
    <t xml:space="preserve">2026-10-18</t>
  </si>
  <si>
    <t xml:space="preserve">Allocation Validation Against Budget module completed (EP09-S3)</t>
  </si>
  <si>
    <t xml:space="preserve">- Budget consumption calculation must distinguish between Pending (submitted, not yet verified) and Verified 
- As line items are added/verified, consumption is aggregated per cost center per budget period
- Managers and Finance can view a summary of allocated spend by cost center, department, or project
- Unit tests passed
- UI integrated successfully</t>
  </si>
  <si>
    <t xml:space="preserve">T-154</t>
  </si>
  <si>
    <t xml:space="preserve">Create the CostAllocation entity/model class mapped 1:1 to the `cost_allocation` table, with fields for allocation_id, line_item_id, cost_center_id, allocation_percentage, allocation_amount, created_at, required relationships/foreign keys, standard audit columns (created_at, updated_at), and validation annotations on mandatory fields (per: Budget consumption calculation must distinguish between Pending (submitted, not yet verified) and Verified amounts to avoid double-counting or under-counting available budget.).</t>
  </si>
  <si>
    <t xml:space="preserve">cost_allocation table created (T-153)</t>
  </si>
  <si>
    <t xml:space="preserve">T-155</t>
  </si>
  <si>
    <t xml:space="preserve">Create CostAllocationRepository exposing standard CRUD operations on `cost_allocation`, plus custom queries needed for Allocation Validation Against Budget: As line items are added/verified, consumption is aggregated per cost center per budget period.; If configured as 'enforcing', submissions that would breach the remaining budget are treated as a policy warning/block per FR-5.1 rule configuration; if configured as 'advisory', only a visual indicator is shown..</t>
  </si>
  <si>
    <t xml:space="preserve">CostAllocation entity completed (T-154)</t>
  </si>
  <si>
    <t xml:space="preserve">T-156</t>
  </si>
  <si>
    <t xml:space="preserve">CostAllocationRepository completed (T-155)</t>
  </si>
  <si>
    <t xml:space="preserve">T-157</t>
  </si>
  <si>
    <t xml:space="preserve">Allocation Validation Against Budget service completed (T-156)</t>
  </si>
  <si>
    <t xml:space="preserve">T-158</t>
  </si>
  <si>
    <t xml:space="preserve">Allocation Validation Against Budget APIs completed (T-157)</t>
  </si>
  <si>
    <t xml:space="preserve">T-159</t>
  </si>
  <si>
    <t xml:space="preserve">Backend unit tests passed for Allocation Validation Against Budget (T-158)</t>
  </si>
  <si>
    <t xml:space="preserve">T-160</t>
  </si>
  <si>
    <t xml:space="preserve">Allocation Validation Against Budget UI screen completed (T-159)</t>
  </si>
  <si>
    <t xml:space="preserve">T-161</t>
  </si>
  <si>
    <t xml:space="preserve">Allocation Validation Against Budget API integration completed (T-160)</t>
  </si>
  <si>
    <t xml:space="preserve">T-162</t>
  </si>
  <si>
    <t xml:space="preserve">UI testing passed for Allocation Validation Against Budget (T-161)</t>
  </si>
  <si>
    <t xml:space="preserve">T-163</t>
  </si>
  <si>
    <t xml:space="preserve">EP03 - Receipt Management &amp; OCR Processing</t>
  </si>
  <si>
    <t xml:space="preserve">EP03-S1 - Upload a receipt to a line item</t>
  </si>
  <si>
    <t xml:space="preserve">Design receipt database table</t>
  </si>
  <si>
    <t xml:space="preserve">Design the `receipt` database table to support Upload Receipt (Image/PDF). Columns: receipt_id, s3_key, uploaded_by, line_item_id FK nullable, file_hash, ocr_status, uploaded_at. Purpose: Capture photographic or scanned documentary evidence supporting an expense line item, stored durably and linked for audit.</t>
  </si>
  <si>
    <t xml:space="preserve">EP02 (Expense Report &amp; Line Item Management) epic(s) completed</t>
  </si>
  <si>
    <t xml:space="preserve">- VAL-05 (file type/size)
- One line item may have multiple receipts (e.g., itemized bill + card slip); a receipt may be linked to only
- Employee selects/captures a file and associates it with a line item (or uploads unattached for later matchi
- A line item accepts a PDF, JPG, or PNG receipt upload
- Unit tests passed
- UI integrated successfully</t>
  </si>
  <si>
    <t xml:space="preserve">T-164</t>
  </si>
  <si>
    <t xml:space="preserve">Create Receipt entity mapped to receipt table</t>
  </si>
  <si>
    <t xml:space="preserve">Create the Receipt entity/model class mapped 1:1 to the `receipt` table, with fields for receipt_id, s3_key, uploaded_by, line_item_id FK nullable, file_hash, ocr_status, uploaded_at, required relationships/foreign keys, standard audit columns (created_at, updated_at), and validation annotations on mandatory fields (per: VAL-05 (file type/size).; One line item may have multiple receipts (e.g., itemized bill + card slip); a receipt may be linked to only one line item at a time.).</t>
  </si>
  <si>
    <t xml:space="preserve">receipt table created (T-163)</t>
  </si>
  <si>
    <t xml:space="preserve">T-165</t>
  </si>
  <si>
    <t xml:space="preserve">Create ReceiptRepository with CRUD operations and custom queries</t>
  </si>
  <si>
    <t xml:space="preserve">Create ReceiptRepository exposing standard CRUD operations on `receipt`, plus custom queries needed for Upload Receipt (Image/PDF): Employee selects/captures a file and associates it with a line item (or uploads unattached for later matching, see FR-3.3).; File is uploaded directly to a pre-signed S3 URL to avoid routing binary payloads through the application server..</t>
  </si>
  <si>
    <t xml:space="preserve">Receipt entity completed (T-164)</t>
  </si>
  <si>
    <t xml:space="preserve">T-166</t>
  </si>
  <si>
    <t xml:space="preserve">Implement Upload Receipt (Image/PDF) Service (business logic, rules &amp; validations)</t>
  </si>
  <si>
    <t xml:space="preserve">Implement the Upload Receipt (Image/PDF) service layer. Business flow: Employee selects/captures a file and associates it with a line item (or uploads unattached for later matching, see FR-3.3).; File is uploaded directly to a pre-signed S3 URL to avoid routing binary payloads through the application server.; Upon successful S3 confirmation, a receipt metadata record is created and OCR extraction (FR-3.2) is queued asynchronously.. Validations to enforce: VAL-05 (file type/size).; One line item may have multiple receipts (e.g., itemized bill + card slip); a receipt may be linked to only one line item at a time.. Exception handling: S3 upload fails mid-transfer — client retries with resumable upload; after 3 failed attempts, employee is prompted to reduce file size or contact support..</t>
  </si>
  <si>
    <t xml:space="preserve">ReceiptRepository completed (T-165)</t>
  </si>
  <si>
    <t xml:space="preserve">T-167</t>
  </si>
  <si>
    <t xml:space="preserve">Implement Upload Receipt (Image/PDF) REST APIs</t>
  </si>
  <si>
    <t xml:space="preserve">Implement the REST API(s) for Upload Receipt (Image/PDF): POST /api/v1/receipts/presign, POST /api/v1/receipts/confirm. Requests must enforce the validations and business rules implemented in the Upload Receipt (Image/PDF) service, and return errors per: S3 upload fails mid-transfer — client retries with resumable upload; after 3 failed attempts, employee is prompted to reduce file size or contact support..</t>
  </si>
  <si>
    <t xml:space="preserve">Upload Receipt (Image/PDF) service completed (T-166)</t>
  </si>
  <si>
    <t xml:space="preserve">T-168</t>
  </si>
  <si>
    <t xml:space="preserve">Write unit tests for Upload Receipt (Image/PDF) service and APIs</t>
  </si>
  <si>
    <t xml:space="preserve">Write unit tests covering the Upload Receipt (Image/PDF) service logic, all validations (VAL-05 (file type/size).; One line item may have multiple receipts (e.g., itemized bill + card slip); a receipt may be linked to only one line item at a time.), exception paths, and the REST API contract (POST /api/v1/receipts/presign, POST /api/v1/receipts/confirm).</t>
  </si>
  <si>
    <t xml:space="preserve">Upload Receipt (Image/PDF) APIs completed (T-167)</t>
  </si>
  <si>
    <t xml:space="preserve">T-169</t>
  </si>
  <si>
    <t xml:space="preserve">Build Upload Receipt (Image/PDF) screen/UI component</t>
  </si>
  <si>
    <t xml:space="preserve">Build the Upload Receipt (Image/PDF) screen/UI component. UI behaviour: Drag-and-drop or camera-capture widget; thumbnail preview with upload progress indicator..</t>
  </si>
  <si>
    <t xml:space="preserve">Backend unit tests passed for Upload Receipt (Image/PDF) (T-168)</t>
  </si>
  <si>
    <t xml:space="preserve">T-170</t>
  </si>
  <si>
    <t xml:space="preserve">Integrate Upload Receipt (Image/PDF) APIs into UI and implement client-side validations</t>
  </si>
  <si>
    <t xml:space="preserve">Integrate POST /api/v1/receipts/presign, POST /api/v1/receipts/confirm into the Upload Receipt (Image/PDF) screen; mirror the backend validations (VAL-05 (file type/size).; One line item may have multiple receipts (e.g., itemized bill + card slip); a receipt may be linked to only one line item at a time.) on the client, show loading states, and surface user-facing error messages for: S3 upload fails mid-transfer — client retries with resumable upload; after 3 failed attempts, employee is prompted to reduce file size or contact support..</t>
  </si>
  <si>
    <t xml:space="preserve">Upload Receipt (Image/PDF) UI screen completed (T-169)</t>
  </si>
  <si>
    <t xml:space="preserve">T-171</t>
  </si>
  <si>
    <t xml:space="preserve">Perform UI testing for Upload Receipt (Image/PDF)</t>
  </si>
  <si>
    <t xml:space="preserve">Perform UI testing for the Upload Receipt (Image/PDF) screen: verify it behaves per the UI behaviour spec, all client-side validations trigger correctly, and API errors/loading states display as expected.</t>
  </si>
  <si>
    <t xml:space="preserve">Upload Receipt (Image/PDF) API integration completed (T-170)</t>
  </si>
  <si>
    <t xml:space="preserve">T-172</t>
  </si>
  <si>
    <t xml:space="preserve">Code review, documentation &amp; deployment for Upload Receipt (Image/PDF)</t>
  </si>
  <si>
    <t xml:space="preserve">Peer-review the Upload Receipt (Image/PDF) implementation (entity, repository, service, APIs, UI), update technical documentation, and deploy to the QA environment.</t>
  </si>
  <si>
    <t xml:space="preserve">UI testing passed for Upload Receipt (Image/PDF) (T-171)</t>
  </si>
  <si>
    <t xml:space="preserve">T-173</t>
  </si>
  <si>
    <t xml:space="preserve">EP03-S2 - Support multiple attachments per line item</t>
  </si>
  <si>
    <t xml:space="preserve">Upload Receipt (Image/PDF) module completed (EP03-S1)</t>
  </si>
  <si>
    <t xml:space="preserve">- VAL-05 (file type/size)
- One line item may have multiple receipts (e.g., itemized bill + card slip); a receipt may be linked to only
- Employee selects/captures a file and associates it with a line item (or uploads unattached for later matchi
- A line item can carry more than one supporting document where several apply (e.g., invoice + payment confir...
- Unit tests passed
- UI integrated successfully</t>
  </si>
  <si>
    <t xml:space="preserve">T-174</t>
  </si>
  <si>
    <t xml:space="preserve">receipt table created (T-173)</t>
  </si>
  <si>
    <t xml:space="preserve">T-175</t>
  </si>
  <si>
    <t xml:space="preserve">Receipt entity completed (T-174)</t>
  </si>
  <si>
    <t xml:space="preserve">T-176</t>
  </si>
  <si>
    <t xml:space="preserve">ReceiptRepository completed (T-175)</t>
  </si>
  <si>
    <t xml:space="preserve">T-177</t>
  </si>
  <si>
    <t xml:space="preserve">Upload Receipt (Image/PDF) service completed (T-176)</t>
  </si>
  <si>
    <t xml:space="preserve">T-178</t>
  </si>
  <si>
    <t xml:space="preserve">Upload Receipt (Image/PDF) APIs completed (T-177)</t>
  </si>
  <si>
    <t xml:space="preserve">T-179</t>
  </si>
  <si>
    <t xml:space="preserve">Backend unit tests passed for Upload Receipt (Image/PDF) (T-178)</t>
  </si>
  <si>
    <t xml:space="preserve">T-180</t>
  </si>
  <si>
    <t xml:space="preserve">Upload Receipt (Image/PDF) UI screen completed (T-179)</t>
  </si>
  <si>
    <t xml:space="preserve">T-181</t>
  </si>
  <si>
    <t xml:space="preserve">Upload Receipt (Image/PDF) API integration completed (T-180)</t>
  </si>
  <si>
    <t xml:space="preserve">T-182</t>
  </si>
  <si>
    <t xml:space="preserve">UI testing passed for Upload Receipt (Image/PDF) (T-181)</t>
  </si>
  <si>
    <t xml:space="preserve">T-183</t>
  </si>
  <si>
    <t xml:space="preserve">EP03-S3 - OCR-assisted pre-fill of merchant, amount and date</t>
  </si>
  <si>
    <t xml:space="preserve">Design receipt_ocr_result database table</t>
  </si>
  <si>
    <t xml:space="preserve">Design the `receipt_ocr_result` database table to support OCR-Based Auto-Extraction. Columns: receipt_id FK, extracted_amount, extracted_currency, extracted_date, extracted_merchant, confidence_score, processed_at. Purpose: Reduce manual data entry by automatically extracting merchant name, date, amount, and currency from an uploaded receipt.</t>
  </si>
  <si>
    <t xml:space="preserve">Upload Receipt (Image/PDF) module completed (EP03-S2)</t>
  </si>
  <si>
    <t xml:space="preserve">- OCR confidence score below a configured threshold (e.g., 70%) suppresses auto-fill and falls back to manual
- OCR job consumes from a queue populated on upload confirmation
- Attaching a receipt image triggers OCR extraction that pre-fills merchant, amount, and date on the line item
- Unit tests passed
- UI integrated successfully</t>
  </si>
  <si>
    <t xml:space="preserve">T-184</t>
  </si>
  <si>
    <t xml:space="preserve">Create ReceiptOcrResult entity mapped to receipt_ocr_result table</t>
  </si>
  <si>
    <t xml:space="preserve">Create the ReceiptOcrResult entity/model class mapped 1:1 to the `receipt_ocr_result` table, with fields for receipt_id FK, extracted_amount, extracted_currency, extracted_date, extracted_merchant, confidence_score, processed_at, required relationships/foreign keys, standard audit columns (created_at, updated_at), and validation annotations on mandatory fields (per: OCR confidence score below a configured threshold (e.g., 70%) suppresses auto-fill and falls back to manual entry (ERR-06).).</t>
  </si>
  <si>
    <t xml:space="preserve">receipt_ocr_result table created (T-183)</t>
  </si>
  <si>
    <t xml:space="preserve">T-185</t>
  </si>
  <si>
    <t xml:space="preserve">Create ReceiptOcrResultRepository with CRUD operations and custom queries</t>
  </si>
  <si>
    <t xml:space="preserve">Create ReceiptOcrResultRepository exposing standard CRUD operations on `receipt_ocr_result`, plus custom queries needed for OCR-Based Auto-Extraction: OCR job consumes from a queue populated on upload confirmation.; Extracted fields are stored as 'proposed values', distinct from the confirmed line-item fields, until the employee accepts..</t>
  </si>
  <si>
    <t xml:space="preserve">ReceiptOcrResult entity completed (T-184)</t>
  </si>
  <si>
    <t xml:space="preserve">T-186</t>
  </si>
  <si>
    <t xml:space="preserve">Implement OCR-Based Auto-Extraction Service (business logic, rules &amp; validations)</t>
  </si>
  <si>
    <t xml:space="preserve">Implement the OCR-Based Auto-Extraction service layer. Business flow: OCR job consumes from a queue populated on upload confirmation.; Extracted fields are stored as 'proposed values', distinct from the confirmed line-item fields, until the employee accepts.; If no line item is yet linked, the employee is prompted to create one pre-populated from OCR output.. Validations to enforce: OCR confidence score below a configured threshold (e.g., 70%) suppresses auto-fill and falls back to manual entry (ERR-06).. Exception handling: OCR engine returns conflicting currency symbols (e.g., '$' ambiguous between USD/CAD/AUD) — system defaults to the employee's most-used currency for that merchant and flags for confirmation..</t>
  </si>
  <si>
    <t xml:space="preserve">ReceiptOcrResultRepository completed (T-185)</t>
  </si>
  <si>
    <t xml:space="preserve">T-187</t>
  </si>
  <si>
    <t xml:space="preserve">Implement OCR-Based Auto-Extraction REST APIs</t>
  </si>
  <si>
    <t xml:space="preserve">Implement the REST API(s) for OCR-Based Auto-Extraction: GET /api/v1/receipts/{id}/ocr-result. Requests must enforce the validations and business rules implemented in the OCR-Based Auto-Extraction service, and return errors per: OCR engine returns conflicting currency symbols (e.g., '$' ambiguous between USD/CAD/AUD) — system defaults to the employee's most-used currency for that merchant and flags for confirmation..</t>
  </si>
  <si>
    <t xml:space="preserve">OCR-Based Auto-Extraction service completed (T-186)</t>
  </si>
  <si>
    <t xml:space="preserve">T-188</t>
  </si>
  <si>
    <t xml:space="preserve">Write unit tests for OCR-Based Auto-Extraction service and APIs</t>
  </si>
  <si>
    <t xml:space="preserve">Write unit tests covering the OCR-Based Auto-Extraction service logic, all validations (OCR confidence score below a configured threshold (e.g., 70%) suppresses auto-fill and falls back to manual entry (ERR-06).), exception paths, and the REST API contract (GET /api/v1/receipts/{id}/ocr-result).</t>
  </si>
  <si>
    <t xml:space="preserve">OCR-Based Auto-Extraction APIs completed (T-187)</t>
  </si>
  <si>
    <t xml:space="preserve">T-189</t>
  </si>
  <si>
    <t xml:space="preserve">Build OCR-Based Auto-Extraction screen/UI component</t>
  </si>
  <si>
    <t xml:space="preserve">Build the OCR-Based Auto-Extraction screen/UI component. UI behaviour: Extracted fields shown with a subtle 'auto-filled' badge and one-click accept/edit affordance..</t>
  </si>
  <si>
    <t xml:space="preserve">Backend unit tests passed for OCR-Based Auto-Extraction (T-188)</t>
  </si>
  <si>
    <t xml:space="preserve">T-190</t>
  </si>
  <si>
    <t xml:space="preserve">Integrate OCR-Based Auto-Extraction APIs into UI and implement client-side validations</t>
  </si>
  <si>
    <t xml:space="preserve">Integrate GET /api/v1/receipts/{id}/ocr-result into the OCR-Based Auto-Extraction screen; mirror the backend validations (OCR confidence score below a configured threshold (e.g., 70%) suppresses auto-fill and falls back to manual entry (ERR-06).) on the client, show loading states, and surface user-facing error messages for: OCR engine returns conflicting currency symbols (e.g., '$' ambiguous between USD/CAD/AUD) — system defaults to the employee's most-used currency for that merchant and flags for confirmation..</t>
  </si>
  <si>
    <t xml:space="preserve">OCR-Based Auto-Extraction UI screen completed (T-189)</t>
  </si>
  <si>
    <t xml:space="preserve">T-191</t>
  </si>
  <si>
    <t xml:space="preserve">Perform UI testing for OCR-Based Auto-Extraction</t>
  </si>
  <si>
    <t xml:space="preserve">Perform UI testing for the OCR-Based Auto-Extraction screen: verify it behaves per the UI behaviour spec, all client-side validations trigger correctly, and API errors/loading states display as expected.</t>
  </si>
  <si>
    <t xml:space="preserve">OCR-Based Auto-Extraction API integration completed (T-190)</t>
  </si>
  <si>
    <t xml:space="preserve">T-192</t>
  </si>
  <si>
    <t xml:space="preserve">Code review, documentation &amp; deployment for OCR-Based Auto-Extraction</t>
  </si>
  <si>
    <t xml:space="preserve">Peer-review the OCR-Based Auto-Extraction implementation (entity, repository, service, APIs, UI), update technical documentation, and deploy to the QA environment.</t>
  </si>
  <si>
    <t xml:space="preserve">UI testing passed for OCR-Based Auto-Extraction (T-191)</t>
  </si>
  <si>
    <t xml:space="preserve">T-193</t>
  </si>
  <si>
    <t xml:space="preserve">EP03-S4 - Detect duplicate receipts</t>
  </si>
  <si>
    <t xml:space="preserve">Design the `receipt` database table to support Duplicate Receipt Detection. Columns: receipt_id, line_item_id, file_name, file_path, file_type, file_size, uploaded_by, uploaded_at, ocr_status, file_hash. Purpose: Prevent accidental or fraudulent double-claiming of the same expense via identical receipt evidence.</t>
  </si>
  <si>
    <t xml:space="preserve">OCR-Based Auto-Extraction module completed (EP03-S3)</t>
  </si>
  <si>
    <t xml:space="preserve">- Exact file hash match is treated as high-confidence duplicate; perceptual hash match above similarity thres
- On upload confirmation, system computes SHA-256 file hash and a perceptual image hash (to catch re-scans/re
- The system flags a receipt that appears to match one already attached to another line item
- Unit tests passed
- UI integrated successfully</t>
  </si>
  <si>
    <t xml:space="preserve">T-194</t>
  </si>
  <si>
    <t xml:space="preserve">Create the Receipt entity/model class mapped 1:1 to the `receipt` table, with fields for receipt_id, line_item_id, file_name, file_path, file_type, file_size, uploaded_by, uploaded_at, ocr_status, file_hash, required relationships/foreign keys, standard audit columns (created_at, updated_at), and validation annotations on mandatory fields (per: Exact file hash match is treated as high-confidence duplicate; perceptual hash match above similarity threshold is treated as medium-confidence and surfaced as a warning only.).</t>
  </si>
  <si>
    <t xml:space="preserve">receipt table created (T-193)</t>
  </si>
  <si>
    <t xml:space="preserve">T-195</t>
  </si>
  <si>
    <t xml:space="preserve">Create ReceiptRepository exposing standard CRUD operations on `receipt`, plus custom queries needed for Duplicate Receipt Detection: On upload confirmation, system computes SHA-256 file hash and a perceptual image hash (to catch re-scans/re-photos of the same paper receipt).; If a match is found, the line item is flagged 'Possible Duplicate' rather than blocked outright, pending Finance judgment..</t>
  </si>
  <si>
    <t xml:space="preserve">Receipt entity completed (T-194)</t>
  </si>
  <si>
    <t xml:space="preserve">T-196</t>
  </si>
  <si>
    <t xml:space="preserve">Implement Duplicate Receipt Detection Service (business logic, rules &amp; validations)</t>
  </si>
  <si>
    <t xml:space="preserve">Implement the Duplicate Receipt Detection service layer. Business flow: On upload confirmation, system computes SHA-256 file hash and a perceptual image hash (to catch re-scans/re-photos of the same paper receipt).; If a match is found, the line item is flagged 'Possible Duplicate' rather than blocked outright, pending Finance judgment.. Validations to enforce: Exact file hash match is treated as high-confidence duplicate; perceptual hash match above similarity threshold is treated as medium-confidence and surfaced as a warning only.. Exception handling: Legitimate re-upload of the same receipt after a technical error deleted the original — Finance can clear the duplicate flag with a mandatory justification note..</t>
  </si>
  <si>
    <t xml:space="preserve">ReceiptRepository completed (T-195)</t>
  </si>
  <si>
    <t xml:space="preserve">T-197</t>
  </si>
  <si>
    <t xml:space="preserve">Implement Duplicate Receipt Detection REST APIs</t>
  </si>
  <si>
    <t xml:space="preserve">Implement the REST API(s) for Duplicate Receipt Detection: POST /api/v1/receipts/confirm;, GET /api/v1/receipts/{id}/duplicate-check. Requests must enforce the validations and business rules implemented in the Duplicate Receipt Detection service, and return errors per: Legitimate re-upload of the same receipt after a technical error deleted the original — Finance can clear the duplicate flag with a mandatory justification note..</t>
  </si>
  <si>
    <t xml:space="preserve">Duplicate Receipt Detection service completed (T-196)</t>
  </si>
  <si>
    <t xml:space="preserve">T-198</t>
  </si>
  <si>
    <t xml:space="preserve">Write unit tests for Duplicate Receipt Detection service and APIs</t>
  </si>
  <si>
    <t xml:space="preserve">Write unit tests covering the Duplicate Receipt Detection service logic, all validations (Exact file hash match is treated as high-confidence duplicate; perceptual hash match above similarity threshold is treated as medium-confidence and surfaced as a warning only.), exception paths, and the REST API contract (POST /api/v1/receipts/confirm;, GET /api/v1/receipts/{id}/duplicate-check).</t>
  </si>
  <si>
    <t xml:space="preserve">Duplicate Receipt Detection APIs completed (T-197)</t>
  </si>
  <si>
    <t xml:space="preserve">T-199</t>
  </si>
  <si>
    <t xml:space="preserve">Build Duplicate Receipt Detection screen/UI component</t>
  </si>
  <si>
    <t xml:space="preserve">Build the Duplicate Receipt Detection screen/UI component. UI behaviour: Red 'Possible Duplicate' badge on the line item, with a comparison view showing both receipts side by side..</t>
  </si>
  <si>
    <t xml:space="preserve">Backend unit tests passed for Duplicate Receipt Detection (T-198)</t>
  </si>
  <si>
    <t xml:space="preserve">T-200</t>
  </si>
  <si>
    <t xml:space="preserve">Integrate Duplicate Receipt Detection APIs into UI and implement client-side validations</t>
  </si>
  <si>
    <t xml:space="preserve">Integrate POST /api/v1/receipts/confirm;, GET /api/v1/receipts/{id}/duplicate-check into the Duplicate Receipt Detection screen; mirror the backend validations (Exact file hash match is treated as high-confidence duplicate; perceptual hash match above similarity threshold is treated as medium-confidence and surfaced as a warning only.) on the client, show loading states, and surface user-facing error messages for: Legitimate re-upload of the same receipt after a technical error deleted the original — Finance can clear the duplicate flag with a mandatory justification note..</t>
  </si>
  <si>
    <t xml:space="preserve">Duplicate Receipt Detection UI screen completed (T-199)</t>
  </si>
  <si>
    <t xml:space="preserve">T-201</t>
  </si>
  <si>
    <t xml:space="preserve">Perform UI testing for Duplicate Receipt Detection</t>
  </si>
  <si>
    <t xml:space="preserve">Perform UI testing for the Duplicate Receipt Detection screen: verify it behaves per the UI behaviour spec, all client-side validations trigger correctly, and API errors/loading states display as expected.</t>
  </si>
  <si>
    <t xml:space="preserve">Duplicate Receipt Detection API integration completed (T-200)</t>
  </si>
  <si>
    <t xml:space="preserve">T-202</t>
  </si>
  <si>
    <t xml:space="preserve">Code review, documentation &amp; deployment for Duplicate Receipt Detection</t>
  </si>
  <si>
    <t xml:space="preserve">Peer-review the Duplicate Receipt Detection implementation (entity, repository, service, APIs, UI), update technical documentation, and deploy to the QA environment.</t>
  </si>
  <si>
    <t xml:space="preserve">UI testing passed for Duplicate Receipt Detection (T-201)</t>
  </si>
  <si>
    <t xml:space="preserve">T-203</t>
  </si>
  <si>
    <t xml:space="preserve">EP05 - Expense Policy &amp; Compliance Management</t>
  </si>
  <si>
    <t xml:space="preserve">EP05-S1 - Configure policy rules per category</t>
  </si>
  <si>
    <t xml:space="preserve">Design policy_rule database table</t>
  </si>
  <si>
    <t xml:space="preserve">Design the `policy_rule` database table to support Policy Rule Configuration. Columns: rule_id, scope_json, condition_json, action, severity, effective_from, effective_to, version. Purpose: Enable Administrators to define, version, and manage spend-control rules without requiring application code changes (NFR-10).</t>
  </si>
  <si>
    <t xml:space="preserve">Sprint 6</t>
  </si>
  <si>
    <t xml:space="preserve">2026-11-01</t>
  </si>
  <si>
    <t xml:space="preserve">EP01 (Expense Management System Foundation &amp; Administration); EP02 (Expense Report &amp; Line Item Management) epic(s) completed</t>
  </si>
  <si>
    <t xml:space="preserve">- A rule's effective_from date cannot precede today's date at creation (no retroactive rule authoring)
- Administrator defines a rule: scope (category/grade/cost-center), condition (e.g., amount &gt; cap), and actio
- Admin can configure maximum amount, mandatory-receipt threshold, and approval threshold per category
- Unit tests passed
- UI integrated successfully</t>
  </si>
  <si>
    <t xml:space="preserve">T-204</t>
  </si>
  <si>
    <t xml:space="preserve">Create PolicyRule entity mapped to policy_rule table</t>
  </si>
  <si>
    <t xml:space="preserve">Create the PolicyRule entity/model class mapped 1:1 to the `policy_rule` table, with fields for rule_id, scope_json, condition_json, action, severity, effective_from, effective_to, version, required relationships/foreign keys, standard audit columns (created_at, updated_at), and validation annotations on mandatory fields (per: A rule's effective_from date cannot precede today's date at creation (no retroactive rule authoring).).</t>
  </si>
  <si>
    <t xml:space="preserve">policy_rule table created (T-203)</t>
  </si>
  <si>
    <t xml:space="preserve">T-205</t>
  </si>
  <si>
    <t xml:space="preserve">Create PolicyRuleRepository with CRUD operations and custom queries</t>
  </si>
  <si>
    <t xml:space="preserve">Create PolicyRuleRepository exposing standard CRUD operations on `policy_rule`, plus custom queries needed for Policy Rule Configuration: Administrator defines a rule: scope (category/grade/cost-center), condition (e.g., amount &gt; cap), and action (block, warn, require-exception-approval).; Rule is versioned; a new effective-dated version does not retroactively alter already-submitted reports..</t>
  </si>
  <si>
    <t xml:space="preserve">PolicyRule entity completed (T-204)</t>
  </si>
  <si>
    <t xml:space="preserve">T-206</t>
  </si>
  <si>
    <t xml:space="preserve">Implement Policy Rule Configuration Service (business logic, rules &amp; validations)</t>
  </si>
  <si>
    <t xml:space="preserve">Implement the Policy Rule Configuration service layer. Business flow: Administrator defines a rule: scope (category/grade/cost-center), condition (e.g., amount &gt; cap), and action (block, warn, require-exception-approval).; Rule is versioned; a new effective-dated version does not retroactively alter already-submitted reports.. Validations to enforce: A rule's effective_from date cannot precede today's date at creation (no retroactive rule authoring).. Exception handling: Two active rules conflict for the same scope (e.g., one blocks, one only warns) — system applies the stricter (block) rule and logs a configuration warning for Administrator resolution..</t>
  </si>
  <si>
    <t xml:space="preserve">PolicyRuleRepository completed (T-205)</t>
  </si>
  <si>
    <t xml:space="preserve">T-207</t>
  </si>
  <si>
    <t xml:space="preserve">Implement Policy Rule Configuration REST APIs</t>
  </si>
  <si>
    <t xml:space="preserve">Implement the REST API(s) for Policy Rule Configuration: POST /api/v1/policy-rules, PUT /api/v1/policy-rules, GET /api/v1/policy-rules. Requests must enforce the validations and business rules implemented in the Policy Rule Configuration service, and return errors per: Two active rules conflict for the same scope (e.g., one blocks, one only warns) — system applies the stricter (block) rule and logs a configuration warning for Administrator resolution..</t>
  </si>
  <si>
    <t xml:space="preserve">Policy Rule Configuration service completed (T-206)</t>
  </si>
  <si>
    <t xml:space="preserve">T-208</t>
  </si>
  <si>
    <t xml:space="preserve">Write unit tests for Policy Rule Configuration service and APIs</t>
  </si>
  <si>
    <t xml:space="preserve">Write unit tests covering the Policy Rule Configuration service logic, all validations (A rule's effective_from date cannot precede today's date at creation (no retroactive rule authoring).), exception paths, and the REST API contract (POST /api/v1/policy-rules, PUT /api/v1/policy-rules, GET /api/v1/policy-rules).</t>
  </si>
  <si>
    <t xml:space="preserve">Policy Rule Configuration APIs completed (T-207)</t>
  </si>
  <si>
    <t xml:space="preserve">T-209</t>
  </si>
  <si>
    <t xml:space="preserve">Build Policy Rule Configuration screen/UI component</t>
  </si>
  <si>
    <t xml:space="preserve">Build the Policy Rule Configuration screen/UI component. UI behaviour: Rule builder with condition/action dropdowns; live preview of which categories/grades the rule currently affects..</t>
  </si>
  <si>
    <t xml:space="preserve">Backend unit tests passed for Policy Rule Configuration (T-208)</t>
  </si>
  <si>
    <t xml:space="preserve">T-210</t>
  </si>
  <si>
    <t xml:space="preserve">Integrate Policy Rule Configuration APIs into UI and implement client-side validations</t>
  </si>
  <si>
    <t xml:space="preserve">Integrate POST /api/v1/policy-rules, PUT /api/v1/policy-rules, GET /api/v1/policy-rules into the Policy Rule Configuration screen; mirror the backend validations (A rule's effective_from date cannot precede today's date at creation (no retroactive rule authoring).) on the client, show loading states, and surface user-facing error messages for: Two active rules conflict for the same scope (e.g., one blocks, one only warns) — system applies the stricter (block) rule and logs a configuration warning for Administrator resolution..</t>
  </si>
  <si>
    <t xml:space="preserve">Policy Rule Configuration UI screen completed (T-209)</t>
  </si>
  <si>
    <t xml:space="preserve">T-211</t>
  </si>
  <si>
    <t xml:space="preserve">Perform UI testing for Policy Rule Configuration</t>
  </si>
  <si>
    <t xml:space="preserve">Perform UI testing for the Policy Rule Configuration screen: verify it behaves per the UI behaviour spec, all client-side validations trigger correctly, and API errors/loading states display as expected.</t>
  </si>
  <si>
    <t xml:space="preserve">Policy Rule Configuration API integration completed (T-210)</t>
  </si>
  <si>
    <t xml:space="preserve">T-212</t>
  </si>
  <si>
    <t xml:space="preserve">Code review, documentation &amp; deployment for Policy Rule Configuration</t>
  </si>
  <si>
    <t xml:space="preserve">Peer-review the Policy Rule Configuration implementation (entity, repository, service, APIs, UI), update technical documentation, and deploy to the QA environment.</t>
  </si>
  <si>
    <t xml:space="preserve">UI testing passed for Policy Rule Configuration (T-211)</t>
  </si>
  <si>
    <t xml:space="preserve">T-213</t>
  </si>
  <si>
    <t xml:space="preserve">EP05-S2 - Flag out-of-policy line items at submission</t>
  </si>
  <si>
    <t xml:space="preserve">Design requested database table</t>
  </si>
  <si>
    <t xml:space="preserve">Design the `requested` database table to support Real-Time Policy Validation. Columns: see FR-5.3. Purpose: Evaluate every expense line item against all applicable active rules at the moment of entry and again at submission (BR-03).</t>
  </si>
  <si>
    <t xml:space="preserve">Policy Rule Configuration module completed (EP05-S1)</t>
  </si>
  <si>
    <t xml:space="preserve">- Evaluation must complete within the NFR-01 latency budget to avoid degrading the save experience
- On line-item save, the Policy Engine is called synchronously with the line item payload
- A line item breaching a configured policy rule is flagged Out-of-Policy at the moment of submission
- Unit tests passed
- UI integrated successfully</t>
  </si>
  <si>
    <t xml:space="preserve">T-214</t>
  </si>
  <si>
    <t xml:space="preserve">Create Requested entity mapped to requested table</t>
  </si>
  <si>
    <t xml:space="preserve">Create the Requested entity/model class mapped 1:1 to the `requested` table, with fields for see FR-5.3, required relationships/foreign keys, standard audit columns (created_at, updated_at), and validation annotations on mandatory fields (per: Evaluation must complete within the NFR-01 latency budget to avoid degrading the save experience.).</t>
  </si>
  <si>
    <t xml:space="preserve">requested table created (T-213)</t>
  </si>
  <si>
    <t xml:space="preserve">T-215</t>
  </si>
  <si>
    <t xml:space="preserve">Create RequestedRepository with CRUD operations and custom queries</t>
  </si>
  <si>
    <t xml:space="preserve">Create RequestedRepository exposing standard CRUD operations on `requested`, plus custom queries needed for Real-Time Policy Validation: On line-item save, the Policy Engine is called synchronously with the line item payload.; Triggered rules are returned and rendered inline; hard (block) rules prevent submission until resolved or excepted..</t>
  </si>
  <si>
    <t xml:space="preserve">Requested entity completed (T-214)</t>
  </si>
  <si>
    <t xml:space="preserve">T-216</t>
  </si>
  <si>
    <t xml:space="preserve">Implement Real-Time Policy Validation Service (business logic, rules &amp; validations)</t>
  </si>
  <si>
    <t xml:space="preserve">Implement the Real-Time Policy Validation service layer. Business flow: On line-item save, the Policy Engine is called synchronously with the line item payload.; Triggered rules are returned and rendered inline; hard (block) rules prevent submission until resolved or excepted.. Validations to enforce: Evaluation must complete within the NFR-01 latency budget to avoid degrading the save experience.. Exception handling: Policy Engine service unavailable — system fails safe by blocking submission entirely (not silently allowing) until service health is restored, to preserve compliance integrity..</t>
  </si>
  <si>
    <t xml:space="preserve">RequestedRepository completed (T-215)</t>
  </si>
  <si>
    <t xml:space="preserve">T-217</t>
  </si>
  <si>
    <t xml:space="preserve">Implement Real-Time Policy Validation REST APIs</t>
  </si>
  <si>
    <t xml:space="preserve">Implement the REST API(s) for Real-Time Policy Validation: POST /api/v1/policy-engine/evaluate. Requests must enforce the validations and business rules implemented in the Real-Time Policy Validation service, and return errors per: Policy Engine service unavailable — system fails safe by blocking submission entirely (not silently allowing) until service health is restored, to preserve compliance integrity..</t>
  </si>
  <si>
    <t xml:space="preserve">Real-Time Policy Validation service completed (T-216)</t>
  </si>
  <si>
    <t xml:space="preserve">T-218</t>
  </si>
  <si>
    <t xml:space="preserve">Write unit tests for Real-Time Policy Validation service and APIs</t>
  </si>
  <si>
    <t xml:space="preserve">Write unit tests covering the Real-Time Policy Validation service logic, all validations (Evaluation must complete within the NFR-01 latency budget to avoid degrading the save experience.), exception paths, and the REST API contract (POST /api/v1/policy-engine/evaluate).</t>
  </si>
  <si>
    <t xml:space="preserve">Real-Time Policy Validation APIs completed (T-217)</t>
  </si>
  <si>
    <t xml:space="preserve">T-219</t>
  </si>
  <si>
    <t xml:space="preserve">Build Real-Time Policy Validation screen/UI component</t>
  </si>
  <si>
    <t xml:space="preserve">Build the Real-Time Policy Validation screen/UI component. UI behaviour: Inline banners: amber for warn-level, red for block-level, with a 'Request Exception' link where configured..</t>
  </si>
  <si>
    <t xml:space="preserve">Backend unit tests passed for Real-Time Policy Validation (T-218)</t>
  </si>
  <si>
    <t xml:space="preserve">T-220</t>
  </si>
  <si>
    <t xml:space="preserve">Integrate Real-Time Policy Validation APIs into UI and implement client-side validations</t>
  </si>
  <si>
    <t xml:space="preserve">Integrate POST /api/v1/policy-engine/evaluate into the Real-Time Policy Validation screen; mirror the backend validations (Evaluation must complete within the NFR-01 latency budget to avoid degrading the save experience.) on the client, show loading states, and surface user-facing error messages for: Policy Engine service unavailable — system fails safe by blocking submission entirely (not silently allowing) until service health is restored, to preserve compliance integrity..</t>
  </si>
  <si>
    <t xml:space="preserve">Real-Time Policy Validation UI screen completed (T-219)</t>
  </si>
  <si>
    <t xml:space="preserve">T-221</t>
  </si>
  <si>
    <t xml:space="preserve">Perform UI testing for Real-Time Policy Validation</t>
  </si>
  <si>
    <t xml:space="preserve">Perform UI testing for the Real-Time Policy Validation screen: verify it behaves per the UI behaviour spec, all client-side validations trigger correctly, and API errors/loading states display as expected.</t>
  </si>
  <si>
    <t xml:space="preserve">Real-Time Policy Validation API integration completed (T-220)</t>
  </si>
  <si>
    <t xml:space="preserve">T-222</t>
  </si>
  <si>
    <t xml:space="preserve">Code review, documentation &amp; deployment for Real-Time Policy Validation</t>
  </si>
  <si>
    <t xml:space="preserve">Peer-review the Real-Time Policy Validation implementation (entity, repository, service, APIs, UI), update technical documentation, and deploy to the QA environment.</t>
  </si>
  <si>
    <t xml:space="preserve">UI testing passed for Real-Time Policy Validation (T-221)</t>
  </si>
  <si>
    <t xml:space="preserve">T-223</t>
  </si>
  <si>
    <t xml:space="preserve">EP05-S3 - Require and capture employee justification for out-of-policy items</t>
  </si>
  <si>
    <t xml:space="preserve">Design policy_exception database table</t>
  </si>
  <si>
    <t xml:space="preserve">Design the `policy_exception` database table to support Policy Violation Handling &amp; Exception Approval. Columns: exception_id, line_item_id FK, justification, requested_by, approver_id, status, resolved_at. Purpose: Provide a controlled override path for legitimate business scenarios that breach a standard policy cap.</t>
  </si>
  <si>
    <t xml:space="preserve">Real-Time Policy Validation module completed (EP05-S2)</t>
  </si>
  <si>
    <t xml:space="preserve">- Justification text is mandatory, minimum length enforced (configurable)
- Employee clicks 'Request Exception' on a blocked line item, enters justification
- An Out-of-Policy line item cannot be submitted without a short employee justification
- Unit tests passed
- UI integrated successfully</t>
  </si>
  <si>
    <t xml:space="preserve">T-224</t>
  </si>
  <si>
    <t xml:space="preserve">Create PolicyException entity mapped to policy_exception table</t>
  </si>
  <si>
    <t xml:space="preserve">Create the PolicyException entity/model class mapped 1:1 to the `policy_exception` table, with fields for exception_id, line_item_id FK, justification, requested_by, approver_id, status, resolved_at, required relationships/foreign keys, standard audit columns (created_at, updated_at), and validation annotations on mandatory fields (per: Justification text is mandatory, minimum length enforced (configurable).).</t>
  </si>
  <si>
    <t xml:space="preserve">policy_exception table created (T-223)</t>
  </si>
  <si>
    <t xml:space="preserve">T-225</t>
  </si>
  <si>
    <t xml:space="preserve">Create PolicyExceptionRepository with CRUD operations and custom queries</t>
  </si>
  <si>
    <t xml:space="preserve">Create PolicyExceptionRepository exposing standard CRUD operations on `policy_exception`, plus custom queries needed for Policy Violation Handling &amp; Exception Approval: Employee clicks 'Request Exception' on a blocked line item, enters justification.; Line item is marked Exception-Pending and does not block report submission, but the report itself routes with a visible exception flag for the approver's attention..</t>
  </si>
  <si>
    <t xml:space="preserve">PolicyException entity completed (T-224)</t>
  </si>
  <si>
    <t xml:space="preserve">T-226</t>
  </si>
  <si>
    <t xml:space="preserve">Implement Policy Violation Handling &amp; Exception Approval Service (business logic, rules &amp; validations)</t>
  </si>
  <si>
    <t xml:space="preserve">Implement the Policy Violation Handling &amp; Exception Approval service layer. Business flow: Employee clicks 'Request Exception' on a blocked line item, enters justification.; Line item is marked Exception-Pending and does not block report submission, but the report itself routes with a visible exception flag for the approver's attention.; Exception approver approves or denies independently of the general approval action.. Validations to enforce: Justification text is mandatory, minimum length enforced (configurable).. Exception handling: Exception denied after the report has already passed Manager Approval — report is sent back to Draft for the specific line item to be corrected or removed..</t>
  </si>
  <si>
    <t xml:space="preserve">PolicyExceptionRepository completed (T-225)</t>
  </si>
  <si>
    <t xml:space="preserve">T-227</t>
  </si>
  <si>
    <t xml:space="preserve">Implement Policy Violation Handling &amp; Exception Approval REST APIs</t>
  </si>
  <si>
    <t xml:space="preserve">Implement the REST API(s) for Policy Violation Handling &amp; Exception Approval: POST /api/v1/expense-reports/{id}/line-items/{lineItemId}/request-exception. Requests must enforce the validations and business rules implemented in the Policy Violation Handling &amp; Exception Approval service, and return errors per: Exception denied after the report has already passed Manager Approval — report is sent back to Draft for the specific line item to be corrected or removed..</t>
  </si>
  <si>
    <t xml:space="preserve">Policy Violation Handling &amp; Exception Approval service completed (T-226)</t>
  </si>
  <si>
    <t xml:space="preserve">T-228</t>
  </si>
  <si>
    <t xml:space="preserve">Write unit tests for Policy Violation Handling &amp; Exception Approval service and APIs</t>
  </si>
  <si>
    <t xml:space="preserve">Write unit tests covering the Policy Violation Handling &amp; Exception Approval service logic, all validations (Justification text is mandatory, minimum length enforced (configurable).), exception paths, and the REST API contract (POST /api/v1/expense-reports/{id}/line-items/{lineItemId}/request-exception).</t>
  </si>
  <si>
    <t xml:space="preserve">Policy Violation Handling &amp; Exception Approval APIs completed (T-227)</t>
  </si>
  <si>
    <t xml:space="preserve">T-229</t>
  </si>
  <si>
    <t xml:space="preserve">Build Policy Violation Handling &amp; Exception Approval screen/UI component</t>
  </si>
  <si>
    <t xml:space="preserve">Build the Policy Violation Handling &amp; Exception Approval screen/UI component. UI behaviour: Exception badge on the line item throughout its lifecycle until resolved..</t>
  </si>
  <si>
    <t xml:space="preserve">Backend unit tests passed for Policy Violation Handling &amp; Exception Approval (T-228)</t>
  </si>
  <si>
    <t xml:space="preserve">T-230</t>
  </si>
  <si>
    <t xml:space="preserve">Integrate Policy Violation Handling &amp; Exception Approval APIs into UI and implement client-side validations</t>
  </si>
  <si>
    <t xml:space="preserve">Integrate POST /api/v1/expense-reports/{id}/line-items/{lineItemId}/request-exception into the Policy Violation Handling &amp; Exception Approval screen; mirror the backend validations (Justification text is mandatory, minimum length enforced (configurable).) on the client, show loading states, and surface user-facing error messages for: Exception denied after the report has already passed Manager Approval — report is sent back to Draft for the specific line item to be corrected or removed..</t>
  </si>
  <si>
    <t xml:space="preserve">Policy Violation Handling &amp; Exception Approval UI screen completed (T-229)</t>
  </si>
  <si>
    <t xml:space="preserve">T-231</t>
  </si>
  <si>
    <t xml:space="preserve">Perform UI testing for Policy Violation Handling &amp; Exception Approval</t>
  </si>
  <si>
    <t xml:space="preserve">Perform UI testing for the Policy Violation Handling &amp; Exception Approval screen: verify it behaves per the UI behaviour spec, all client-side validations trigger correctly, and API errors/loading states display as expected.</t>
  </si>
  <si>
    <t xml:space="preserve">Policy Violation Handling &amp; Exception Approval API integration completed (T-230)</t>
  </si>
  <si>
    <t xml:space="preserve">T-232</t>
  </si>
  <si>
    <t xml:space="preserve">Code review, documentation &amp; deployment for Policy Violation Handling &amp; Exception Approval</t>
  </si>
  <si>
    <t xml:space="preserve">Peer-review the Policy Violation Handling &amp; Exception Approval implementation (entity, repository, service, APIs, UI), update technical documentation, and deploy to the QA environment.</t>
  </si>
  <si>
    <t xml:space="preserve">UI testing passed for Policy Violation Handling &amp; Exception Approval (T-231)</t>
  </si>
  <si>
    <t xml:space="preserve">T-233</t>
  </si>
  <si>
    <t xml:space="preserve">EP05-S4 - Surface policy flags to Manager and Finance on review</t>
  </si>
  <si>
    <t xml:space="preserve">Policy Violation Handling &amp; Exception Approval module completed (EP05-S3)</t>
  </si>
  <si>
    <t xml:space="preserve">- Justification text is mandatory, minimum length enforced (configurable)
- Employee clicks 'Request Exception' on a blocked line item, enters justification
- The Out-of-Policy flag and justification are visible to the Manager from the first review and to Finance du...
- Unit tests passed
- UI integrated successfully</t>
  </si>
  <si>
    <t xml:space="preserve">T-234</t>
  </si>
  <si>
    <t xml:space="preserve">policy_exception table created (T-233)</t>
  </si>
  <si>
    <t xml:space="preserve">T-235</t>
  </si>
  <si>
    <t xml:space="preserve">PolicyException entity completed (T-234)</t>
  </si>
  <si>
    <t xml:space="preserve">T-236</t>
  </si>
  <si>
    <t xml:space="preserve">PolicyExceptionRepository completed (T-235)</t>
  </si>
  <si>
    <t xml:space="preserve">T-237</t>
  </si>
  <si>
    <t xml:space="preserve">Policy Violation Handling &amp; Exception Approval service completed (T-236)</t>
  </si>
  <si>
    <t xml:space="preserve">T-238</t>
  </si>
  <si>
    <t xml:space="preserve">Policy Violation Handling &amp; Exception Approval APIs completed (T-237)</t>
  </si>
  <si>
    <t xml:space="preserve">T-239</t>
  </si>
  <si>
    <t xml:space="preserve">Backend unit tests passed for Policy Violation Handling &amp; Exception Approval (T-238)</t>
  </si>
  <si>
    <t xml:space="preserve">T-240</t>
  </si>
  <si>
    <t xml:space="preserve">Policy Violation Handling &amp; Exception Approval UI screen completed (T-239)</t>
  </si>
  <si>
    <t xml:space="preserve">T-241</t>
  </si>
  <si>
    <t xml:space="preserve">Policy Violation Handling &amp; Exception Approval API integration completed (T-240)</t>
  </si>
  <si>
    <t xml:space="preserve">T-242</t>
  </si>
  <si>
    <t xml:space="preserve">UI testing passed for Policy Violation Handling &amp; Exception Approval (T-241)</t>
  </si>
  <si>
    <t xml:space="preserve">T-243</t>
  </si>
  <si>
    <t xml:space="preserve">EP05-S5 - Mandatory-receipt compliance check</t>
  </si>
  <si>
    <t xml:space="preserve">Policy Violation Handling &amp; Exception Approval module completed (EP05-S4)</t>
  </si>
  <si>
    <t xml:space="preserve">- Evaluation must complete within the NFR-01 latency budget to avoid degrading the save experience
- On line-item save, the Policy Engine is called synchronously with the line item payload
- A line item requiring a mandatory receipt cannot be submitted without one attached
- Unit tests passed
- UI integrated successfully</t>
  </si>
  <si>
    <t xml:space="preserve">T-244</t>
  </si>
  <si>
    <t xml:space="preserve">requested table created (T-243)</t>
  </si>
  <si>
    <t xml:space="preserve">T-245</t>
  </si>
  <si>
    <t xml:space="preserve">Requested entity completed (T-244)</t>
  </si>
  <si>
    <t xml:space="preserve">T-246</t>
  </si>
  <si>
    <t xml:space="preserve">RequestedRepository completed (T-245)</t>
  </si>
  <si>
    <t xml:space="preserve">T-247</t>
  </si>
  <si>
    <t xml:space="preserve">Real-Time Policy Validation service completed (T-246)</t>
  </si>
  <si>
    <t xml:space="preserve">T-248</t>
  </si>
  <si>
    <t xml:space="preserve">Real-Time Policy Validation APIs completed (T-247)</t>
  </si>
  <si>
    <t xml:space="preserve">T-249</t>
  </si>
  <si>
    <t xml:space="preserve">Backend unit tests passed for Real-Time Policy Validation (T-248)</t>
  </si>
  <si>
    <t xml:space="preserve">T-250</t>
  </si>
  <si>
    <t xml:space="preserve">Real-Time Policy Validation UI screen completed (T-249)</t>
  </si>
  <si>
    <t xml:space="preserve">T-251</t>
  </si>
  <si>
    <t xml:space="preserve">Real-Time Policy Validation API integration completed (T-250)</t>
  </si>
  <si>
    <t xml:space="preserve">T-252</t>
  </si>
  <si>
    <t xml:space="preserve">UI testing passed for Real-Time Policy Validation (T-251)</t>
  </si>
  <si>
    <t xml:space="preserve">T-253</t>
  </si>
  <si>
    <t xml:space="preserve">EP04 - Cash Advance Management</t>
  </si>
  <si>
    <t xml:space="preserve">EP04-S1 - Request a cash advance</t>
  </si>
  <si>
    <t xml:space="preserve">Design cash_advance database table</t>
  </si>
  <si>
    <t xml:space="preserve">Design the `cash_advance` database table to support Request Cash Advance. Columns: advance_id, employee_id FK, amount, currency, base_amount, status, requested_at, approved_at, disbursed_at, settlement_due_date. Purpose: Allow an employee to request funds ahead of an anticipated business expense (e.g., travel) rather than bearing the cost personally.</t>
  </si>
  <si>
    <t xml:space="preserve">Sprint 7</t>
  </si>
  <si>
    <t xml:space="preserve">2026-11-15</t>
  </si>
  <si>
    <t xml:space="preserve">- VAL-06 (maximum amount per grade/policy)
- Expected settlement date must be within the configured maximum advance duration (e.g., 90 days) from the re
- Employee submits a request specifying amount, currency, business justification, and expected settlement date
- Employee can request an advance stating purpose, estimated amount, and client/project if relevant
- Unit tests passed
- UI integrated successfully</t>
  </si>
  <si>
    <t xml:space="preserve">T-254</t>
  </si>
  <si>
    <t xml:space="preserve">Create CashAdvance entity mapped to cash_advance table</t>
  </si>
  <si>
    <t xml:space="preserve">Create the CashAdvance entity/model class mapped 1:1 to the `cash_advance` table, with fields for advance_id, employee_id FK, amount, currency, base_amount, status, requested_at, approved_at, disbursed_at, settlement_due_date, required relationships/foreign keys, standard audit columns (created_at, updated_at), and validation annotations on mandatory fields (per: VAL-06 (maximum amount per grade/policy).; Expected settlement date must be within the configured maximum advance duration (e.g., 90 days) from the request date.).</t>
  </si>
  <si>
    <t xml:space="preserve">cash_advance table created (T-253)</t>
  </si>
  <si>
    <t xml:space="preserve">T-255</t>
  </si>
  <si>
    <t xml:space="preserve">Create CashAdvanceRepository with CRUD operations and custom queries</t>
  </si>
  <si>
    <t xml:space="preserve">Create CashAdvanceRepository exposing standard CRUD operations on `cash_advance`, plus custom queries needed for Request Cash Advance: Employee submits a request specifying amount, currency, business justification, and expected settlement date.; Request routes to the employee's manager for approval (resolved via the FR-1.1 UMS hierarchy lookup) using the configured cash-advance approval level (may differ from expense report thresholds)..</t>
  </si>
  <si>
    <t xml:space="preserve">CashAdvance entity completed (T-254)</t>
  </si>
  <si>
    <t xml:space="preserve">T-256</t>
  </si>
  <si>
    <t xml:space="preserve">Implement Request Cash Advance Service (business logic, rules &amp; validations)</t>
  </si>
  <si>
    <t xml:space="preserve">Implement the Request Cash Advance service layer. Business flow: Employee submits a request specifying amount, currency, business justification, and expected settlement date.; Request routes to the employee's manager for approval (resolved via the FR-1.1 UMS hierarchy lookup) using the configured cash-advance approval level (may differ from expense report thresholds).. Validations to enforce: VAL-06 (maximum amount per grade/policy).; Expected settlement date must be within the configured maximum advance duration (e.g., 90 days) from the request date.. Exception handling: Employee has an existing overdue advance — new requests are blocked until the overdue advance is resolved or an Administrator override is applied..</t>
  </si>
  <si>
    <t xml:space="preserve">CashAdvanceRepository completed (T-255)</t>
  </si>
  <si>
    <t xml:space="preserve">T-257</t>
  </si>
  <si>
    <t xml:space="preserve">Implement Request Cash Advance REST APIs</t>
  </si>
  <si>
    <t xml:space="preserve">Implement the REST API(s) for Request Cash Advance: POST /api/v1/cash-advances. Requests must enforce the validations and business rules implemented in the Request Cash Advance service, and return errors per: Employee has an existing overdue advance — new requests are blocked until the overdue advance is resolved or an Administrator override is applied..</t>
  </si>
  <si>
    <t xml:space="preserve">Request Cash Advance service completed (T-256)</t>
  </si>
  <si>
    <t xml:space="preserve">T-258</t>
  </si>
  <si>
    <t xml:space="preserve">Write unit tests for Request Cash Advance service and APIs</t>
  </si>
  <si>
    <t xml:space="preserve">Write unit tests covering the Request Cash Advance service logic, all validations (VAL-06 (maximum amount per grade/policy).; Expected settlement date must be within the configured maximum advance duration (e.g., 90 days) from the request date.), exception paths, and the REST API contract (POST /api/v1/cash-advances).</t>
  </si>
  <si>
    <t xml:space="preserve">Request Cash Advance APIs completed (T-257)</t>
  </si>
  <si>
    <t xml:space="preserve">T-259</t>
  </si>
  <si>
    <t xml:space="preserve">Build Request Cash Advance screen/UI component</t>
  </si>
  <si>
    <t xml:space="preserve">Build the Request Cash Advance screen/UI component. UI behaviour: Simple request form with amount, currency, purpose, and settlement date; shows any existing outstanding advance balance prominently..</t>
  </si>
  <si>
    <t xml:space="preserve">Backend unit tests passed for Request Cash Advance (T-258)</t>
  </si>
  <si>
    <t xml:space="preserve">T-260</t>
  </si>
  <si>
    <t xml:space="preserve">Integrate Request Cash Advance APIs into UI and implement client-side validations</t>
  </si>
  <si>
    <t xml:space="preserve">Integrate POST /api/v1/cash-advances into the Request Cash Advance screen; mirror the backend validations (VAL-06 (maximum amount per grade/policy).; Expected settlement date must be within the configured maximum advance duration (e.g., 90 days) from the request date.) on the client, show loading states, and surface user-facing error messages for: Employee has an existing overdue advance — new requests are blocked until the overdue advance is resolved or an Administrator override is applied..</t>
  </si>
  <si>
    <t xml:space="preserve">Request Cash Advance UI screen completed (T-259)</t>
  </si>
  <si>
    <t xml:space="preserve">T-261</t>
  </si>
  <si>
    <t xml:space="preserve">Perform UI testing for Request Cash Advance</t>
  </si>
  <si>
    <t xml:space="preserve">Perform UI testing for the Request Cash Advance screen: verify it behaves per the UI behaviour spec, all client-side validations trigger correctly, and API errors/loading states display as expected.</t>
  </si>
  <si>
    <t xml:space="preserve">Request Cash Advance API integration completed (T-260)</t>
  </si>
  <si>
    <t xml:space="preserve">T-262</t>
  </si>
  <si>
    <t xml:space="preserve">Code review, documentation &amp; deployment for Request Cash Advance</t>
  </si>
  <si>
    <t xml:space="preserve">Peer-review the Request Cash Advance implementation (entity, repository, service, APIs, UI), update technical documentation, and deploy to the QA environment.</t>
  </si>
  <si>
    <t xml:space="preserve">UI testing passed for Request Cash Advance (T-261)</t>
  </si>
  <si>
    <t xml:space="preserve">T-263</t>
  </si>
  <si>
    <t xml:space="preserve">EP04-S2 - Manager approval of advance request</t>
  </si>
  <si>
    <t xml:space="preserve">Design the `cash_advance` database table to support Approve/Reject Cash Advance. Columns: advance_id, employee_id, amount, currency_id, base_amount, purpose, status, settlement_due_date, outstanding_balance. Purpose: Provide managers a dedicated queue and decision interface for cash advance requests, independent of expense report approvals.</t>
  </si>
  <si>
    <t xml:space="preserve">Request Cash Advance module completed (EP04-S1); Related: Delegation of Approval Authority (EP06-S3)</t>
  </si>
  <si>
    <t xml:space="preserve">- Rejection requires a non-empty reason field
- Manager opens pending advance task, reviews amount and employee's current outstanding balance
- Manager can approve or reject an advance request before any money is issued
- Unit tests passed
- UI integrated successfully</t>
  </si>
  <si>
    <t xml:space="preserve">T-264</t>
  </si>
  <si>
    <t xml:space="preserve">Create the CashAdvance entity/model class mapped 1:1 to the `cash_advance` table, with fields for advance_id, employee_id, amount, currency_id, base_amount, purpose, status, settlement_due_date, outstanding_balance, required relationships/foreign keys, standard audit columns (created_at, updated_at), and validation annotations on mandatory fields (per: Rejection requires a non-empty reason field.).</t>
  </si>
  <si>
    <t xml:space="preserve">cash_advance table created (T-263)</t>
  </si>
  <si>
    <t xml:space="preserve">T-265</t>
  </si>
  <si>
    <t xml:space="preserve">Create CashAdvanceRepository exposing standard CRUD operations on `cash_advance`, plus custom queries needed for Approve/Reject Cash Advance: Manager opens pending advance task, reviews amount and employee's current outstanding balance.; On approval, request status moves to Approved and a disbursement task is created for AP/Finance..</t>
  </si>
  <si>
    <t xml:space="preserve">CashAdvance entity completed (T-264)</t>
  </si>
  <si>
    <t xml:space="preserve">T-266</t>
  </si>
  <si>
    <t xml:space="preserve">Implement Approve/Reject Cash Advance Service (business logic, rules &amp; validations)</t>
  </si>
  <si>
    <t xml:space="preserve">Implement the Approve/Reject Cash Advance service layer. Business flow: Manager opens pending advance task, reviews amount and employee's current outstanding balance.; On approval, request status moves to Approved and a disbursement task is created for AP/Finance.; On rejection, a mandatory reason is captured and the employee is notified.. Validations to enforce: Rejection requires a non-empty reason field.. Exception handling: Manager on leave — routes per the same delegation/escalation mechanism as expense approvals (FR-6.3, FR-6.4)..</t>
  </si>
  <si>
    <t xml:space="preserve">CashAdvanceRepository completed (T-265)</t>
  </si>
  <si>
    <t xml:space="preserve">T-267</t>
  </si>
  <si>
    <t xml:space="preserve">Implement Approve/Reject Cash Advance REST APIs</t>
  </si>
  <si>
    <t xml:space="preserve">Implement the REST API(s) for Approve/Reject Cash Advance: POST /api/v1/cash-advances/{id}/approve, POST /api/v1/cash-advances/{id}/reject. Requests must enforce the validations and business rules implemented in the Approve/Reject Cash Advance service, and return errors per: Manager on leave — routes per the same delegation/escalation mechanism as expense approvals (FR-6.3, FR-6.4)..</t>
  </si>
  <si>
    <t xml:space="preserve">Approve/Reject Cash Advance service completed (T-266)</t>
  </si>
  <si>
    <t xml:space="preserve">T-268</t>
  </si>
  <si>
    <t xml:space="preserve">Write unit tests for Approve/Reject Cash Advance service and APIs</t>
  </si>
  <si>
    <t xml:space="preserve">Write unit tests covering the Approve/Reject Cash Advance service logic, all validations (Rejection requires a non-empty reason field.), exception paths, and the REST API contract (POST /api/v1/cash-advances/{id}/approve, POST /api/v1/cash-advances/{id}/reject).</t>
  </si>
  <si>
    <t xml:space="preserve">Approve/Reject Cash Advance APIs completed (T-267)</t>
  </si>
  <si>
    <t xml:space="preserve">T-269</t>
  </si>
  <si>
    <t xml:space="preserve">Build Approve/Reject Cash Advance screen/UI component</t>
  </si>
  <si>
    <t xml:space="preserve">Build the Approve/Reject Cash Advance screen/UI component. UI behaviour: Approve/Reject buttons with a reason modal on reject; approve is single-click with an optional comment..</t>
  </si>
  <si>
    <t xml:space="preserve">Backend unit tests passed for Approve/Reject Cash Advance (T-268)</t>
  </si>
  <si>
    <t xml:space="preserve">T-270</t>
  </si>
  <si>
    <t xml:space="preserve">Integrate Approve/Reject Cash Advance APIs into UI and implement client-side validations</t>
  </si>
  <si>
    <t xml:space="preserve">Integrate POST /api/v1/cash-advances/{id}/approve, POST /api/v1/cash-advances/{id}/reject into the Approve/Reject Cash Advance screen; mirror the backend validations (Rejection requires a non-empty reason field.) on the client, show loading states, and surface user-facing error messages for: Manager on leave — routes per the same delegation/escalation mechanism as expense approvals (FR-6.3, FR-6.4)..</t>
  </si>
  <si>
    <t xml:space="preserve">Approve/Reject Cash Advance UI screen completed (T-269)</t>
  </si>
  <si>
    <t xml:space="preserve">T-271</t>
  </si>
  <si>
    <t xml:space="preserve">Perform UI testing for Approve/Reject Cash Advance</t>
  </si>
  <si>
    <t xml:space="preserve">Perform UI testing for the Approve/Reject Cash Advance screen: verify it behaves per the UI behaviour spec, all client-side validations trigger correctly, and API errors/loading states display as expected.</t>
  </si>
  <si>
    <t xml:space="preserve">Approve/Reject Cash Advance API integration completed (T-270)</t>
  </si>
  <si>
    <t xml:space="preserve">T-272</t>
  </si>
  <si>
    <t xml:space="preserve">Code review, documentation &amp; deployment for Approve/Reject Cash Advance</t>
  </si>
  <si>
    <t xml:space="preserve">Peer-review the Approve/Reject Cash Advance implementation (entity, repository, service, APIs, UI), update technical documentation, and deploy to the QA environment.</t>
  </si>
  <si>
    <t xml:space="preserve">UI testing passed for Approve/Reject Cash Advance (T-271)</t>
  </si>
  <si>
    <t xml:space="preserve">T-273</t>
  </si>
  <si>
    <t xml:space="preserve">EP04-S3 - Issue advance and record outstanding balance</t>
  </si>
  <si>
    <t xml:space="preserve">Approve/Reject Cash Advance module completed (EP04-S2)</t>
  </si>
  <si>
    <t xml:space="preserve">- Rejection requires a non-empty reason field
- Manager opens pending advance task, reviews amount and employee's current outstanding balance
- Approving a request issues the advance and creates an outstanding-balance record against the employee
- Unit tests passed
- UI integrated successfully</t>
  </si>
  <si>
    <t xml:space="preserve">T-274</t>
  </si>
  <si>
    <t xml:space="preserve">cash_advance table created (T-273)</t>
  </si>
  <si>
    <t xml:space="preserve">T-275</t>
  </si>
  <si>
    <t xml:space="preserve">CashAdvance entity completed (T-274)</t>
  </si>
  <si>
    <t xml:space="preserve">T-276</t>
  </si>
  <si>
    <t xml:space="preserve">CashAdvanceRepository completed (T-275)</t>
  </si>
  <si>
    <t xml:space="preserve">T-277</t>
  </si>
  <si>
    <t xml:space="preserve">Approve/Reject Cash Advance service completed (T-276)</t>
  </si>
  <si>
    <t xml:space="preserve">T-278</t>
  </si>
  <si>
    <t xml:space="preserve">Approve/Reject Cash Advance APIs completed (T-277)</t>
  </si>
  <si>
    <t xml:space="preserve">T-279</t>
  </si>
  <si>
    <t xml:space="preserve">Backend unit tests passed for Approve/Reject Cash Advance (T-278)</t>
  </si>
  <si>
    <t xml:space="preserve">T-280</t>
  </si>
  <si>
    <t xml:space="preserve">Approve/Reject Cash Advance UI screen completed (T-279)</t>
  </si>
  <si>
    <t xml:space="preserve">T-281</t>
  </si>
  <si>
    <t xml:space="preserve">Approve/Reject Cash Advance API integration completed (T-280)</t>
  </si>
  <si>
    <t xml:space="preserve">T-282</t>
  </si>
  <si>
    <t xml:space="preserve">UI testing passed for Approve/Reject Cash Advance (T-281)</t>
  </si>
  <si>
    <t xml:space="preserve">T-283</t>
  </si>
  <si>
    <t xml:space="preserve">EP04-S4 - Adjust outstanding balance against verified expenses</t>
  </si>
  <si>
    <t xml:space="preserve">Design cash_advance_adjustment database table</t>
  </si>
  <si>
    <t xml:space="preserve">Design the `cash_advance_adjustment` database table to support Cash Advance Adjustment Against Expense Report. Columns: adjustment_id, advance_id FK, report_id FK, amount, applied_at. Purpose: Ensure disbursed advances are systematically offset against subsequent actual expenses, per BR-07.</t>
  </si>
  <si>
    <t xml:space="preserve">Approve/Reject Cash Advance module completed (EP04-S3)</t>
  </si>
  <si>
    <t xml:space="preserve">- Offset amount cannot exceed either the report's reimbursable total or the advance's outstanding balance (VA
- Finance Verifier reviewing a report sees a prompt if the employee has an outstanding advance referencing th
- As expenses linked to the advance are verified by Finance, the outstanding balance reduces by the verified ...
- Unit tests passed
- UI integrated successfully</t>
  </si>
  <si>
    <t xml:space="preserve">T-284</t>
  </si>
  <si>
    <t xml:space="preserve">Create CashAdvanceAdjustment entity mapped to cash_advance_adjustment table</t>
  </si>
  <si>
    <t xml:space="preserve">Create the CashAdvanceAdjustment entity/model class mapped 1:1 to the `cash_advance_adjustment` table, with fields for adjustment_id, advance_id FK, report_id FK, amount, applied_at, required relationships/foreign keys, standard audit columns (created_at, updated_at), and validation annotations on mandatory fields (per: Offset amount cannot exceed either the report's reimbursable total or the advance's outstanding balance (VAL — cross-entity, enforced server-side).).</t>
  </si>
  <si>
    <t xml:space="preserve">cash_advance_adjustment table created (T-283)</t>
  </si>
  <si>
    <t xml:space="preserve">T-285</t>
  </si>
  <si>
    <t xml:space="preserve">Create CashAdvanceAdjustmentRepository with CRUD operations and custom queries</t>
  </si>
  <si>
    <t xml:space="preserve">Create CashAdvanceAdjustmentRepository exposing standard CRUD operations on `cash_advance_adjustment`, plus custom queries needed for Cash Advance Adjustment Against Expense Report: Finance Verifier reviewing a report sees a prompt if the employee has an outstanding advance referencing the same trip.; System computes offset = min(report reimbursable total, outstanding advance balance)..</t>
  </si>
  <si>
    <t xml:space="preserve">CashAdvanceAdjustment entity completed (T-284)</t>
  </si>
  <si>
    <t xml:space="preserve">T-286</t>
  </si>
  <si>
    <t xml:space="preserve">Implement Cash Advance Adjustment Against Expense Report Service (business logic, rules &amp; validations)</t>
  </si>
  <si>
    <t xml:space="preserve">Implement the Cash Advance Adjustment Against Expense Report service layer. Business flow: Finance Verifier reviewing a report sees a prompt if the employee has an outstanding advance referencing the same trip.; System computes offset = min(report reimbursable total, outstanding advance balance).; Net reimbursement (if any) = report total − offset amount; if offset exceeds the report total, the residual remains outstanding on the advance.. Validations to enforce: Offset amount cannot exceed either the report's reimbursable total or the advance's outstanding balance (VAL — cross-entity, enforced server-side).. Exception handling: Employee's expense report total is less than the advance — residual becomes ERR-08 (Cash Advance Over-Adjustment), triggering recovery workflow..</t>
  </si>
  <si>
    <t xml:space="preserve">CashAdvanceAdjustmentRepository completed (T-285)</t>
  </si>
  <si>
    <t xml:space="preserve">T-287</t>
  </si>
  <si>
    <t xml:space="preserve">Implement Cash Advance Adjustment Against Expense Report REST APIs</t>
  </si>
  <si>
    <t xml:space="preserve">Implement the REST API(s) for Cash Advance Adjustment Against Expense Report: POST /api/v1/expense-reports/{id}/apply-advance-offset. Requests must enforce the validations and business rules implemented in the Cash Advance Adjustment Against Expense Report service, and return errors per: Employee's expense report total is less than the advance — residual becomes ERR-08 (Cash Advance Over-Adjustment), triggering recovery workflow..</t>
  </si>
  <si>
    <t xml:space="preserve">Cash Advance Adjustment Against Expense Report service completed (T-286)</t>
  </si>
  <si>
    <t xml:space="preserve">T-288</t>
  </si>
  <si>
    <t xml:space="preserve">Write unit tests for Cash Advance Adjustment Against Expense Report service and APIs</t>
  </si>
  <si>
    <t xml:space="preserve">Write unit tests covering the Cash Advance Adjustment Against Expense Report service logic, all validations (Offset amount cannot exceed either the report's reimbursable total or the advance's outstanding balance (VAL — cross-entity, enforced server-side).), exception paths, and the REST API contract (POST /api/v1/expense-reports/{id}/apply-advance-offset).</t>
  </si>
  <si>
    <t xml:space="preserve">Cash Advance Adjustment Against Expense Report APIs completed (T-287)</t>
  </si>
  <si>
    <t xml:space="preserve">T-289</t>
  </si>
  <si>
    <t xml:space="preserve">Build Cash Advance Adjustment Against Expense Report screen/UI component</t>
  </si>
  <si>
    <t xml:space="preserve">Build the Cash Advance Adjustment Against Expense Report screen/UI component. UI behaviour: Offset panel shown inline during Finance Verification with a clear 'Amount to be recovered/reimbursed' summary..</t>
  </si>
  <si>
    <t xml:space="preserve">Backend unit tests passed for Cash Advance Adjustment Against Expense Report (T-288)</t>
  </si>
  <si>
    <t xml:space="preserve">T-290</t>
  </si>
  <si>
    <t xml:space="preserve">Integrate Cash Advance Adjustment Against Expense Report APIs into UI and implement client-side validations</t>
  </si>
  <si>
    <t xml:space="preserve">Integrate POST /api/v1/expense-reports/{id}/apply-advance-offset into the Cash Advance Adjustment Against Expense Report screen; mirror the backend validations (Offset amount cannot exceed either the report's reimbursable total or the advance's outstanding balance (VAL — cross-entity, enforced server-side).) on the client, show loading states, and surface user-facing error messages for: Employee's expense report total is less than the advance — residual becomes ERR-08 (Cash Advance Over-Adjustment), triggering recovery workflow..</t>
  </si>
  <si>
    <t xml:space="preserve">Cash Advance Adjustment Against Expense Report UI screen completed (T-289)</t>
  </si>
  <si>
    <t xml:space="preserve">T-291</t>
  </si>
  <si>
    <t xml:space="preserve">Perform UI testing for Cash Advance Adjustment Against Expense Report</t>
  </si>
  <si>
    <t xml:space="preserve">Perform UI testing for the Cash Advance Adjustment Against Expense Report screen: verify it behaves per the UI behaviour spec, all client-side validations trigger correctly, and API errors/loading states display as expected.</t>
  </si>
  <si>
    <t xml:space="preserve">Cash Advance Adjustment Against Expense Report API integration completed (T-290)</t>
  </si>
  <si>
    <t xml:space="preserve">T-292</t>
  </si>
  <si>
    <t xml:space="preserve">Code review, documentation &amp; deployment for Cash Advance Adjustment Against Expense Report</t>
  </si>
  <si>
    <t xml:space="preserve">Peer-review the Cash Advance Adjustment Against Expense Report implementation (entity, repository, service, APIs, UI), update technical documentation, and deploy to the QA environment.</t>
  </si>
  <si>
    <t xml:space="preserve">UI testing passed for Cash Advance Adjustment Against Expense Report (T-291)</t>
  </si>
  <si>
    <t xml:space="preserve">T-293</t>
  </si>
  <si>
    <t xml:space="preserve">EP04-S5 - Settle and close advance when fully accounted for</t>
  </si>
  <si>
    <t xml:space="preserve">Design recovery_action database table</t>
  </si>
  <si>
    <t xml:space="preserve">Design the `recovery_action` database table to support Outstanding Advance Recovery. Columns: action_id, advance_id FK, method, initiated_at, resolved_at. Purpose: Provide a structured process for recovering advances that remain unsettled beyond the policy-defined period.</t>
  </si>
  <si>
    <t xml:space="preserve">Cash Advance Adjustment Against Expense Report module completed (EP04-S4)</t>
  </si>
  <si>
    <t xml:space="preserve">- Recovery amount cannot exceed the outstanding balance at the time of initiation
- Scheduled job evaluates all Disbursed/Partially Adjusted advances daily against settlement_due_date
- Once verified expenses fully account for the advance, it is marked Settled and closed automatically
- Unit tests passed
- UI integrated successfully</t>
  </si>
  <si>
    <t xml:space="preserve">T-294</t>
  </si>
  <si>
    <t xml:space="preserve">Create RecoveryAction entity mapped to recovery_action table</t>
  </si>
  <si>
    <t xml:space="preserve">Create the RecoveryAction entity/model class mapped 1:1 to the `recovery_action` table, with fields for action_id, advance_id FK, method, initiated_at, resolved_at, required relationships/foreign keys, standard audit columns (created_at, updated_at), and validation annotations on mandatory fields (per: Recovery amount cannot exceed the outstanding balance at the time of initiation.).</t>
  </si>
  <si>
    <t xml:space="preserve">recovery_action table created (T-293)</t>
  </si>
  <si>
    <t xml:space="preserve">T-295</t>
  </si>
  <si>
    <t xml:space="preserve">Create RecoveryActionRepository with CRUD operations and custom queries</t>
  </si>
  <si>
    <t xml:space="preserve">Create RecoveryActionRepository exposing standard CRUD operations on `recovery_action`, plus custom queries needed for Outstanding Advance Recovery: Scheduled job evaluates all Disbursed/Partially Adjusted advances daily against settlement_due_date.; Advances past due move to Overdue status and generate a Finance task to initiate recovery..</t>
  </si>
  <si>
    <t xml:space="preserve">RecoveryAction entity completed (T-294)</t>
  </si>
  <si>
    <t xml:space="preserve">T-296</t>
  </si>
  <si>
    <t xml:space="preserve">Implement Outstanding Advance Recovery Service (business logic, rules &amp; validations)</t>
  </si>
  <si>
    <t xml:space="preserve">Implement the Outstanding Advance Recovery service layer. Business flow: Scheduled job evaluates all Disbursed/Partially Adjusted advances daily against settlement_due_date.; Advances past due move to Overdue status and generate a Finance task to initiate recovery.; Finance selects a recovery method; system generates the appropriate downstream request (e.g., payroll deduction instruction).. Validations to enforce: Recovery amount cannot exceed the outstanding balance at the time of initiation.. Exception handling: Employee has separated from the organization with an outstanding advance — routed to a full-and-final-settlement process outside standard recovery..</t>
  </si>
  <si>
    <t xml:space="preserve">RecoveryActionRepository completed (T-295)</t>
  </si>
  <si>
    <t xml:space="preserve">T-297</t>
  </si>
  <si>
    <t xml:space="preserve">Implement Outstanding Advance Recovery REST APIs</t>
  </si>
  <si>
    <t xml:space="preserve">Implement the REST API(s) for Outstanding Advance Recovery: POST /api/v1/cash-advances/{id}/initiate-recovery. Requests must enforce the validations and business rules implemented in the Outstanding Advance Recovery service, and return errors per: Employee has separated from the organization with an outstanding advance — routed to a full-and-final-settlement process outside standard recovery..</t>
  </si>
  <si>
    <t xml:space="preserve">Outstanding Advance Recovery service completed (T-296)</t>
  </si>
  <si>
    <t xml:space="preserve">T-298</t>
  </si>
  <si>
    <t xml:space="preserve">Write unit tests for Outstanding Advance Recovery service and APIs</t>
  </si>
  <si>
    <t xml:space="preserve">Write unit tests covering the Outstanding Advance Recovery service logic, all validations (Recovery amount cannot exceed the outstanding balance at the time of initiation.), exception paths, and the REST API contract (POST /api/v1/cash-advances/{id}/initiate-recovery).</t>
  </si>
  <si>
    <t xml:space="preserve">Outstanding Advance Recovery APIs completed (T-297)</t>
  </si>
  <si>
    <t xml:space="preserve">T-299</t>
  </si>
  <si>
    <t xml:space="preserve">Build Outstanding Advance Recovery screen/UI component</t>
  </si>
  <si>
    <t xml:space="preserve">Build the Outstanding Advance Recovery screen/UI component. UI behaviour: Overdue Advances dashboard for Finance with aging buckets (0-30, 31-60, 60+ days)..</t>
  </si>
  <si>
    <t xml:space="preserve">Backend unit tests passed for Outstanding Advance Recovery (T-298)</t>
  </si>
  <si>
    <t xml:space="preserve">T-300</t>
  </si>
  <si>
    <t xml:space="preserve">Integrate Outstanding Advance Recovery APIs into UI and implement client-side validations</t>
  </si>
  <si>
    <t xml:space="preserve">Integrate POST /api/v1/cash-advances/{id}/initiate-recovery into the Outstanding Advance Recovery screen; mirror the backend validations (Recovery amount cannot exceed the outstanding balance at the time of initiation.) on the client, show loading states, and surface user-facing error messages for: Employee has separated from the organization with an outstanding advance — routed to a full-and-final-settlement process outside standard recovery..</t>
  </si>
  <si>
    <t xml:space="preserve">Outstanding Advance Recovery UI screen completed (T-299)</t>
  </si>
  <si>
    <t xml:space="preserve">T-301</t>
  </si>
  <si>
    <t xml:space="preserve">Perform UI testing for Outstanding Advance Recovery</t>
  </si>
  <si>
    <t xml:space="preserve">Perform UI testing for the Outstanding Advance Recovery screen: verify it behaves per the UI behaviour spec, all client-side validations trigger correctly, and API errors/loading states display as expected.</t>
  </si>
  <si>
    <t xml:space="preserve">Outstanding Advance Recovery API integration completed (T-300)</t>
  </si>
  <si>
    <t xml:space="preserve">T-302</t>
  </si>
  <si>
    <t xml:space="preserve">Code review, documentation &amp; deployment for Outstanding Advance Recovery</t>
  </si>
  <si>
    <t xml:space="preserve">Peer-review the Outstanding Advance Recovery implementation (entity, repository, service, APIs, UI), update technical documentation, and deploy to the QA environment.</t>
  </si>
  <si>
    <t xml:space="preserve">UI testing passed for Outstanding Advance Recovery (T-301)</t>
  </si>
  <si>
    <t xml:space="preserve">T-303</t>
  </si>
  <si>
    <t xml:space="preserve">EP06 - Expense Approval Workflow Management</t>
  </si>
  <si>
    <t xml:space="preserve">EP06-S1 - Manager approve / reject / request changes on a report</t>
  </si>
  <si>
    <t xml:space="preserve">Design parallel_group_id database table</t>
  </si>
  <si>
    <t xml:space="preserve">Design the `parallel_group_id` database table to support Sequential/Parallel Manager Approval. Columns: nullable. Purpose: Support both strictly sequential (Level 1 → Level 2 → Level 3) and parallel (multiple simultaneous approvers, any/all required) approval configurations.</t>
  </si>
  <si>
    <t xml:space="preserve">Sprint 8</t>
  </si>
  <si>
    <t xml:space="preserve">2026-11-29</t>
  </si>
  <si>
    <t xml:space="preserve">EP02 (Expense Report &amp; Line Item Management); EP05 (Expense Policy &amp; Compliance Management) epic(s) completed</t>
  </si>
  <si>
    <t xml:space="preserve">- A parallel level requires at least 2 designated approvers to be a meaningful configuration; system warns if
- For sequential routing, each level's task is only created once the prior level's approval is recorded
- Manager can Approve (moves to Finance), Reject (employee notified with reason), or Request Changes on a sub...
- Unit tests passed
- UI integrated successfully</t>
  </si>
  <si>
    <t xml:space="preserve">T-304</t>
  </si>
  <si>
    <t xml:space="preserve">Create ParallelGroupId entity mapped to parallel_group_id table</t>
  </si>
  <si>
    <t xml:space="preserve">Create the ParallelGroupId entity/model class mapped 1:1 to the `parallel_group_id` table, with fields for nullable, required relationships/foreign keys, standard audit columns (created_at, updated_at), and validation annotations on mandatory fields (per: A parallel level requires at least 2 designated approvers to be a meaningful configuration; system warns if only 1 is set with 'parallel' mode selected.).</t>
  </si>
  <si>
    <t xml:space="preserve">parallel_group_id table created (T-303)</t>
  </si>
  <si>
    <t xml:space="preserve">T-305</t>
  </si>
  <si>
    <t xml:space="preserve">Create ParallelGroupIdRepository with CRUD operations and custom queries</t>
  </si>
  <si>
    <t xml:space="preserve">Create ParallelGroupIdRepository exposing standard CRUD operations on `parallel_group_id`, plus custom queries needed for Sequential/Parallel Manager Approval: For sequential routing, each level's task is only created once the prior level's approval is recorded.; For parallel routing, all designated approvers at a level receive simultaneous tasks; the level completes per the configured all/any rule..</t>
  </si>
  <si>
    <t xml:space="preserve">ParallelGroupId entity completed (T-304)</t>
  </si>
  <si>
    <t xml:space="preserve">T-306</t>
  </si>
  <si>
    <t xml:space="preserve">Implement Sequential/Parallel Manager Approval Service (business logic, rules &amp; validations)</t>
  </si>
  <si>
    <t xml:space="preserve">Implement the Sequential/Parallel Manager Approval service layer. Business flow: For sequential routing, each level's task is only created once the prior level's approval is recorded.; For parallel routing, all designated approvers at a level receive simultaneous tasks; the level completes per the configured all/any rule.. Validations to enforce: A parallel level requires at least 2 designated approvers to be a meaningful configuration; system warns if only 1 is set with 'parallel' mode selected.. Exception handling: In an 'all-required' parallel level, one approver rejects while another has already approved — the rejection takes precedence and the report reverts to Draft immediately, cancelling the other pending task..</t>
  </si>
  <si>
    <t xml:space="preserve">ParallelGroupIdRepository completed (T-305)</t>
  </si>
  <si>
    <t xml:space="preserve">T-307</t>
  </si>
  <si>
    <t xml:space="preserve">Implement Sequential/Parallel Manager Approval REST APIs</t>
  </si>
  <si>
    <t xml:space="preserve">Implement the REST API(s) for Sequential/Parallel Manager Approval: CRUD endpoints under /api/v1/parallel-group-ids. Requests must enforce the validations and business rules implemented in the Sequential/Parallel Manager Approval service, and return errors per: In an 'all-required' parallel level, one approver rejects while another has already approved — the rejection takes precedence and the report reverts to Draft immediately, cancelling the other pending task..</t>
  </si>
  <si>
    <t xml:space="preserve">Sequential/Parallel Manager Approval service completed (T-306)</t>
  </si>
  <si>
    <t xml:space="preserve">T-308</t>
  </si>
  <si>
    <t xml:space="preserve">Write unit tests for Sequential/Parallel Manager Approval service and APIs</t>
  </si>
  <si>
    <t xml:space="preserve">Write unit tests covering the Sequential/Parallel Manager Approval service logic, all validations (A parallel level requires at least 2 designated approvers to be a meaningful configuration; system warns if only 1 is set with 'parallel' mode selected.), exception paths, and the REST API contract (CRUD endpoints under /api/v1/parallel-group-ids).</t>
  </si>
  <si>
    <t xml:space="preserve">Sequential/Parallel Manager Approval APIs completed (T-307)</t>
  </si>
  <si>
    <t xml:space="preserve">T-309</t>
  </si>
  <si>
    <t xml:space="preserve">Build Sequential/Parallel Manager Approval screen/UI component</t>
  </si>
  <si>
    <t xml:space="preserve">Build the Sequential/Parallel Manager Approval screen/UI component. UI behaviour: Approval mode toggle (Sequential / Parallel-Any / Parallel-All) per matrix level..</t>
  </si>
  <si>
    <t xml:space="preserve">Backend unit tests passed for Sequential/Parallel Manager Approval (T-308)</t>
  </si>
  <si>
    <t xml:space="preserve">T-310</t>
  </si>
  <si>
    <t xml:space="preserve">Integrate Sequential/Parallel Manager Approval APIs into UI and implement client-side validations</t>
  </si>
  <si>
    <t xml:space="preserve">Integrate CRUD endpoints under /api/v1/parallel-group-ids into the Sequential/Parallel Manager Approval screen; mirror the backend validations (A parallel level requires at least 2 designated approvers to be a meaningful configuration; system warns if only 1 is set with 'parallel' mode selected.) on the client, show loading states, and surface user-facing error messages for: In an 'all-required' parallel level, one approver rejects while another has already approved — the rejection takes precedence and the report reverts to Draft immediately, cancelling the other pending task..</t>
  </si>
  <si>
    <t xml:space="preserve">Sequential/Parallel Manager Approval UI screen completed (T-309)</t>
  </si>
  <si>
    <t xml:space="preserve">T-311</t>
  </si>
  <si>
    <t xml:space="preserve">Perform UI testing for Sequential/Parallel Manager Approval</t>
  </si>
  <si>
    <t xml:space="preserve">Perform UI testing for the Sequential/Parallel Manager Approval screen: verify it behaves per the UI behaviour spec, all client-side validations trigger correctly, and API errors/loading states display as expected.</t>
  </si>
  <si>
    <t xml:space="preserve">Sequential/Parallel Manager Approval API integration completed (T-310)</t>
  </si>
  <si>
    <t xml:space="preserve">T-312</t>
  </si>
  <si>
    <t xml:space="preserve">Code review, documentation &amp; deployment for Sequential/Parallel Manager Approval</t>
  </si>
  <si>
    <t xml:space="preserve">Peer-review the Sequential/Parallel Manager Approval implementation (entity, repository, service, APIs, UI), update technical documentation, and deploy to the QA environment.</t>
  </si>
  <si>
    <t xml:space="preserve">UI testing passed for Sequential/Parallel Manager Approval (T-311)</t>
  </si>
  <si>
    <t xml:space="preserve">T-313</t>
  </si>
  <si>
    <t xml:space="preserve">EP06-S2 - Correction loop — employee corrects and resubmits</t>
  </si>
  <si>
    <t xml:space="preserve">Sequential/Parallel Manager Approval module completed (EP06-S1)</t>
  </si>
  <si>
    <t xml:space="preserve">- A parallel level requires at least 2 designated approvers to be a meaningful configuration; system warns if
- For sequential routing, each level's task is only created once the prior level's approval is recorded
- Request Changes returns the report to the employee with reviewer comments; the employee can correct and res...
- Unit tests passed
- UI integrated successfully</t>
  </si>
  <si>
    <t xml:space="preserve">T-314</t>
  </si>
  <si>
    <t xml:space="preserve">parallel_group_id table created (T-313)</t>
  </si>
  <si>
    <t xml:space="preserve">T-315</t>
  </si>
  <si>
    <t xml:space="preserve">ParallelGroupId entity completed (T-314)</t>
  </si>
  <si>
    <t xml:space="preserve">T-316</t>
  </si>
  <si>
    <t xml:space="preserve">ParallelGroupIdRepository completed (T-315)</t>
  </si>
  <si>
    <t xml:space="preserve">T-317</t>
  </si>
  <si>
    <t xml:space="preserve">Sequential/Parallel Manager Approval service completed (T-316)</t>
  </si>
  <si>
    <t xml:space="preserve">T-318</t>
  </si>
  <si>
    <t xml:space="preserve">Sequential/Parallel Manager Approval APIs completed (T-317)</t>
  </si>
  <si>
    <t xml:space="preserve">T-319</t>
  </si>
  <si>
    <t xml:space="preserve">Backend unit tests passed for Sequential/Parallel Manager Approval (T-318)</t>
  </si>
  <si>
    <t xml:space="preserve">T-320</t>
  </si>
  <si>
    <t xml:space="preserve">Sequential/Parallel Manager Approval UI screen completed (T-319)</t>
  </si>
  <si>
    <t xml:space="preserve">T-321</t>
  </si>
  <si>
    <t xml:space="preserve">Sequential/Parallel Manager Approval API integration completed (T-320)</t>
  </si>
  <si>
    <t xml:space="preserve">T-322</t>
  </si>
  <si>
    <t xml:space="preserve">UI testing passed for Sequential/Parallel Manager Approval (T-321)</t>
  </si>
  <si>
    <t xml:space="preserve">T-323</t>
  </si>
  <si>
    <t xml:space="preserve">EP06-S3 - Delegated (Out-of-Office) approval routing</t>
  </si>
  <si>
    <t xml:space="preserve">Design approval_delegation database table</t>
  </si>
  <si>
    <t xml:space="preserve">Design the `approval_delegation` database table to support Delegation of Approval Authority. Columns: delegation_id, delegator_id FK, delegate_id FK, start_date, end_date, status. Purpose: Allow an approver to temporarily assign their approval authority to another user during planned absence (BR-11).</t>
  </si>
  <si>
    <t xml:space="preserve">Sequential/Parallel Manager Approval module completed (EP06-S2)</t>
  </si>
  <si>
    <t xml:space="preserve">- Delegate must hold an active role with equal or greater approval authority than the delegator, unless expli
- Approver sets up delegation in advance (e.g., before planned leave), specifying delegate and date range
- Marking a Manager Out-of-Office routes their pending and new approvals to a designated Delegate for that wi...
- Unit tests passed
- UI integrated successfully</t>
  </si>
  <si>
    <t xml:space="preserve">T-324</t>
  </si>
  <si>
    <t xml:space="preserve">Create ApprovalDelegation entity mapped to approval_delegation table</t>
  </si>
  <si>
    <t xml:space="preserve">Create the ApprovalDelegation entity/model class mapped 1:1 to the `approval_delegation` table, with fields for delegation_id, delegator_id FK, delegate_id FK, start_date, end_date, status, required relationships/foreign keys, standard audit columns (created_at, updated_at), and validation annotations on mandatory fields (per: Delegate must hold an active role with equal or greater approval authority than the delegator, unless explicitly permitted by Administrator override.).</t>
  </si>
  <si>
    <t xml:space="preserve">approval_delegation table created (T-323)</t>
  </si>
  <si>
    <t xml:space="preserve">T-325</t>
  </si>
  <si>
    <t xml:space="preserve">Create ApprovalDelegationRepository with CRUD operations and custom queries</t>
  </si>
  <si>
    <t xml:space="preserve">Create ApprovalDelegationRepository exposing standard CRUD operations on `approval_delegation`, plus custom queries needed for Delegation of Approval Authority: Approver sets up delegation in advance (e.g., before planned leave), specifying delegate and date range.; System automatically routes new incoming tasks to the delegate during the active window; tasks already pending before the window began are also offered to the delegate..</t>
  </si>
  <si>
    <t xml:space="preserve">ApprovalDelegation entity completed (T-324)</t>
  </si>
  <si>
    <t xml:space="preserve">T-326</t>
  </si>
  <si>
    <t xml:space="preserve">Implement Delegation of Approval Authority Service (business logic, rules &amp; validations)</t>
  </si>
  <si>
    <t xml:space="preserve">Implement the Delegation of Approval Authority service layer. Business flow: Approver sets up delegation in advance (e.g., before planned leave), specifying delegate and date range.; System automatically routes new incoming tasks to the delegate during the active window; tasks already pending before the window began are also offered to the delegate.; At window expiry, routing reverts automatically to the original approver (BR-11).. Validations to enforce: Delegate must hold an active role with equal or greater approval authority than the delegator, unless explicitly permitted by Administrator override.. Exception handling: Delegation window overlaps with another existing delegation for the same approver — later-created delegation takes precedence, with a warning shown to the approver..</t>
  </si>
  <si>
    <t xml:space="preserve">ApprovalDelegationRepository completed (T-325)</t>
  </si>
  <si>
    <t xml:space="preserve">T-327</t>
  </si>
  <si>
    <t xml:space="preserve">Implement Delegation of Approval Authority REST APIs</t>
  </si>
  <si>
    <t xml:space="preserve">Implement the REST API(s) for Delegation of Approval Authority: POST /api/v1/delegations, GET /api/v1/delegations?approverId=. Requests must enforce the validations and business rules implemented in the Delegation of Approval Authority service, and return errors per: Delegation window overlaps with another existing delegation for the same approver — later-created delegation takes precedence, with a warning shown to the approver..</t>
  </si>
  <si>
    <t xml:space="preserve">Delegation of Approval Authority service completed (T-326)</t>
  </si>
  <si>
    <t xml:space="preserve">T-328</t>
  </si>
  <si>
    <t xml:space="preserve">Write unit tests for Delegation of Approval Authority service and APIs</t>
  </si>
  <si>
    <t xml:space="preserve">Write unit tests covering the Delegation of Approval Authority service logic, all validations (Delegate must hold an active role with equal or greater approval authority than the delegator, unless explicitly permitted by Administrator override.), exception paths, and the REST API contract (POST /api/v1/delegations, GET /api/v1/delegations?approverId=).</t>
  </si>
  <si>
    <t xml:space="preserve">Delegation of Approval Authority APIs completed (T-327)</t>
  </si>
  <si>
    <t xml:space="preserve">T-329</t>
  </si>
  <si>
    <t xml:space="preserve">Build Delegation of Approval Authority screen/UI component</t>
  </si>
  <si>
    <t xml:space="preserve">Build the Delegation of Approval Authority screen/UI component. UI behaviour: Simple date-range picker with delegate selector; active delegations shown as a banner on the approver's dashboard..</t>
  </si>
  <si>
    <t xml:space="preserve">Backend unit tests passed for Delegation of Approval Authority (T-328)</t>
  </si>
  <si>
    <t xml:space="preserve">T-330</t>
  </si>
  <si>
    <t xml:space="preserve">Integrate Delegation of Approval Authority APIs into UI and implement client-side validations</t>
  </si>
  <si>
    <t xml:space="preserve">Integrate POST /api/v1/delegations, GET /api/v1/delegations?approverId= into the Delegation of Approval Authority screen; mirror the backend validations (Delegate must hold an active role with equal or greater approval authority than the delegator, unless explicitly permitted by Administrator override.) on the client, show loading states, and surface user-facing error messages for: Delegation window overlaps with another existing delegation for the same approver — later-created delegation takes precedence, with a warning shown to the approver..</t>
  </si>
  <si>
    <t xml:space="preserve">Delegation of Approval Authority UI screen completed (T-329)</t>
  </si>
  <si>
    <t xml:space="preserve">T-331</t>
  </si>
  <si>
    <t xml:space="preserve">Perform UI testing for Delegation of Approval Authority</t>
  </si>
  <si>
    <t xml:space="preserve">Perform UI testing for the Delegation of Approval Authority screen: verify it behaves per the UI behaviour spec, all client-side validations trigger correctly, and API errors/loading states display as expected.</t>
  </si>
  <si>
    <t xml:space="preserve">Delegation of Approval Authority API integration completed (T-330)</t>
  </si>
  <si>
    <t xml:space="preserve">T-332</t>
  </si>
  <si>
    <t xml:space="preserve">Code review, documentation &amp; deployment for Delegation of Approval Authority</t>
  </si>
  <si>
    <t xml:space="preserve">Peer-review the Delegation of Approval Authority implementation (entity, repository, service, APIs, UI), update technical documentation, and deploy to the QA environment.</t>
  </si>
  <si>
    <t xml:space="preserve">UI testing passed for Delegation of Approval Authority (T-331)</t>
  </si>
  <si>
    <t xml:space="preserve">T-333</t>
  </si>
  <si>
    <t xml:space="preserve">EP06-S4 - Escalation for unactioned approvals</t>
  </si>
  <si>
    <t xml:space="preserve">Design the `approval_task` database table to support Escalation on SLA Breach. Columns: task_id, report_id, approver_id, approval_level, task_status, comments, assigned_at, actioned_at, due_date. Purpose: Prevent reports from stalling indefinitely due to approver inaction, ensuring timely employee reimbursement (BR-12).</t>
  </si>
  <si>
    <t xml:space="preserve">Sprint 9</t>
  </si>
  <si>
    <t xml:space="preserve">2026-12-13</t>
  </si>
  <si>
    <t xml:space="preserve">Delegation of Approval Authority module completed (EP06-S3)</t>
  </si>
  <si>
    <t xml:space="preserve">- SLA duration is configurable per approval level and cost center, with a system-wide default of 3 business d
- SLA timer starts when a task is created (or re-created after escalation)
- An approval left unactioned past a configurable threshold is escalated to a senior manager
- Unit tests passed
- UI integrated successfully</t>
  </si>
  <si>
    <t xml:space="preserve">T-334</t>
  </si>
  <si>
    <t xml:space="preserve">Create the ApprovalTask entity/model class mapped 1:1 to the `approval_task` table, with fields for task_id, report_id, approver_id, approval_level, task_status, comments, assigned_at, actioned_at, due_date, required relationships/foreign keys, standard audit columns (created_at, updated_at), and validation annotations on mandatory fields (per: SLA duration is configurable per approval level and cost center, with a system-wide default of 3 business days.).</t>
  </si>
  <si>
    <t xml:space="preserve">approval_task table created (T-333)</t>
  </si>
  <si>
    <t xml:space="preserve">T-335</t>
  </si>
  <si>
    <t xml:space="preserve">Create ApprovalTaskRepository exposing standard CRUD operations on `approval_task`, plus custom queries needed for Escalation on SLA Breach: SLA timer starts when a task is created (or re-created after escalation).; On breach, task is reassigned to the configured escalation target (delegate if active, otherwise skip-level approver) and the original approver is notified of the escalation..</t>
  </si>
  <si>
    <t xml:space="preserve">ApprovalTask entity completed (T-334)</t>
  </si>
  <si>
    <t xml:space="preserve">T-336</t>
  </si>
  <si>
    <t xml:space="preserve">Implement Escalation on SLA Breach Service (business logic, rules &amp; validations)</t>
  </si>
  <si>
    <t xml:space="preserve">Implement the Escalation on SLA Breach service layer. Business flow: SLA timer starts when a task is created (or re-created after escalation).; On breach, task is reassigned to the configured escalation target (delegate if active, otherwise skip-level approver) and the original approver is notified of the escalation.. Validations to enforce: SLA duration is configurable per approval level and cost center, with a system-wide default of 3 business days.. Exception handling: No escalation target is configured for a given approver — task remains with the original approver but triggers a recurring reminder notification instead of silent stalling..</t>
  </si>
  <si>
    <t xml:space="preserve">ApprovalTaskRepository completed (T-335)</t>
  </si>
  <si>
    <t xml:space="preserve">T-337</t>
  </si>
  <si>
    <t xml:space="preserve">Implement Escalation on SLA Breach REST APIs</t>
  </si>
  <si>
    <t xml:space="preserve">Implement the REST API(s) for Escalation on SLA Breach: CRUD endpoints under /api/v1/approval-tasks. Requests must enforce the validations and business rules implemented in the Escalation on SLA Breach service, and return errors per: No escalation target is configured for a given approver — task remains with the original approver but triggers a recurring reminder notification instead of silent stalling..</t>
  </si>
  <si>
    <t xml:space="preserve">Escalation on SLA Breach service completed (T-336)</t>
  </si>
  <si>
    <t xml:space="preserve">T-338</t>
  </si>
  <si>
    <t xml:space="preserve">Write unit tests for Escalation on SLA Breach service and APIs</t>
  </si>
  <si>
    <t xml:space="preserve">Write unit tests covering the Escalation on SLA Breach service logic, all validations (SLA duration is configurable per approval level and cost center, with a system-wide default of 3 business days.), exception paths, and the REST API contract (CRUD endpoints under /api/v1/approval-tasks).</t>
  </si>
  <si>
    <t xml:space="preserve">Escalation on SLA Breach APIs completed (T-337)</t>
  </si>
  <si>
    <t xml:space="preserve">T-339</t>
  </si>
  <si>
    <t xml:space="preserve">Build Escalation on SLA Breach screen/UI component</t>
  </si>
  <si>
    <t xml:space="preserve">Build the Escalation on SLA Breach screen/UI component. UI behaviour: Escalated tasks are visually flagged (e.g., orange border) in the new approver's queue with an 'Escalated from [original approver]' tag..</t>
  </si>
  <si>
    <t xml:space="preserve">Backend unit tests passed for Escalation on SLA Breach (T-338)</t>
  </si>
  <si>
    <t xml:space="preserve">T-340</t>
  </si>
  <si>
    <t xml:space="preserve">Integrate Escalation on SLA Breach APIs into UI and implement client-side validations</t>
  </si>
  <si>
    <t xml:space="preserve">Integrate CRUD endpoints under /api/v1/approval-tasks into the Escalation on SLA Breach screen; mirror the backend validations (SLA duration is configurable per approval level and cost center, with a system-wide default of 3 business days.) on the client, show loading states, and surface user-facing error messages for: No escalation target is configured for a given approver — task remains with the original approver but triggers a recurring reminder notification instead of silent stalling..</t>
  </si>
  <si>
    <t xml:space="preserve">Escalation on SLA Breach UI screen completed (T-339)</t>
  </si>
  <si>
    <t xml:space="preserve">T-341</t>
  </si>
  <si>
    <t xml:space="preserve">Perform UI testing for Escalation on SLA Breach</t>
  </si>
  <si>
    <t xml:space="preserve">Perform UI testing for the Escalation on SLA Breach screen: verify it behaves per the UI behaviour spec, all client-side validations trigger correctly, and API errors/loading states display as expected.</t>
  </si>
  <si>
    <t xml:space="preserve">Escalation on SLA Breach API integration completed (T-340)</t>
  </si>
  <si>
    <t xml:space="preserve">T-342</t>
  </si>
  <si>
    <t xml:space="preserve">Code review, documentation &amp; deployment for Escalation on SLA Breach</t>
  </si>
  <si>
    <t xml:space="preserve">Peer-review the Escalation on SLA Breach implementation (entity, repository, service, APIs, UI), update technical documentation, and deploy to the QA environment.</t>
  </si>
  <si>
    <t xml:space="preserve">UI testing passed for Escalation on SLA Breach (T-341)</t>
  </si>
  <si>
    <t xml:space="preserve">T-343</t>
  </si>
  <si>
    <t xml:space="preserve">EP06-S5 - Permanent approval history log</t>
  </si>
  <si>
    <t xml:space="preserve">Escalation on SLA Breach module completed (EP06-S4)</t>
  </si>
  <si>
    <t xml:space="preserve">- A parallel level requires at least 2 designated approvers to be a meaningful configuration; system warns if
- For sequential routing, each level's task is only created once the prior level's approval is recorded
- Every approval decision, comment, delegate action, and escalation is retained in a permanent, viewable Appr...
- Unit tests passed
- UI integrated successfully</t>
  </si>
  <si>
    <t xml:space="preserve">T-344</t>
  </si>
  <si>
    <t xml:space="preserve">parallel_group_id table created (T-343)</t>
  </si>
  <si>
    <t xml:space="preserve">T-345</t>
  </si>
  <si>
    <t xml:space="preserve">ParallelGroupId entity completed (T-344)</t>
  </si>
  <si>
    <t xml:space="preserve">T-346</t>
  </si>
  <si>
    <t xml:space="preserve">ParallelGroupIdRepository completed (T-345)</t>
  </si>
  <si>
    <t xml:space="preserve">T-347</t>
  </si>
  <si>
    <t xml:space="preserve">Sequential/Parallel Manager Approval service completed (T-346)</t>
  </si>
  <si>
    <t xml:space="preserve">T-348</t>
  </si>
  <si>
    <t xml:space="preserve">Sequential/Parallel Manager Approval APIs completed (T-347)</t>
  </si>
  <si>
    <t xml:space="preserve">T-349</t>
  </si>
  <si>
    <t xml:space="preserve">Backend unit tests passed for Sequential/Parallel Manager Approval (T-348)</t>
  </si>
  <si>
    <t xml:space="preserve">T-350</t>
  </si>
  <si>
    <t xml:space="preserve">Sequential/Parallel Manager Approval UI screen completed (T-349)</t>
  </si>
  <si>
    <t xml:space="preserve">T-351</t>
  </si>
  <si>
    <t xml:space="preserve">Sequential/Parallel Manager Approval API integration completed (T-350)</t>
  </si>
  <si>
    <t xml:space="preserve">T-352</t>
  </si>
  <si>
    <t xml:space="preserve">UI testing passed for Sequential/Parallel Manager Approval (T-351)</t>
  </si>
  <si>
    <t xml:space="preserve">T-353</t>
  </si>
  <si>
    <t xml:space="preserve">EP06-S6 - Multi-level approval for high-value reports</t>
  </si>
  <si>
    <t xml:space="preserve">Design approval_matrix_rule database table</t>
  </si>
  <si>
    <t xml:space="preserve">Design the `approval_matrix_rule` database table to support Configurable Approval Matrix. Columns: rule_id, cost_center_id FK, min_amount, max_amount, level, approver_type, approver_reference. Purpose: Define the routing logic that determines which approver(s) act on a report at each threshold level, per cost center.</t>
  </si>
  <si>
    <t xml:space="preserve">Sequential/Parallel Manager Approval module completed (EP06-S5)</t>
  </si>
  <si>
    <t xml:space="preserve">Low</t>
  </si>
  <si>
    <t xml:space="preserve">- VAL-08: every cost center must resolve to at least one active approver at Level 1 before submissions are pe
- Matrix is queried at submission time (FR-2.3) using the report's cost center and total amount to resolve th
- A report above a configured value threshold requires a second, more senior approval before proceeding to Fi...
- Unit tests passed
- UI integrated successfully</t>
  </si>
  <si>
    <t xml:space="preserve">T-354</t>
  </si>
  <si>
    <t xml:space="preserve">Create ApprovalMatrixRule entity mapped to approval_matrix_rule table</t>
  </si>
  <si>
    <t xml:space="preserve">Create the ApprovalMatrixRule entity/model class mapped 1:1 to the `approval_matrix_rule` table, with fields for rule_id, cost_center_id FK, min_amount, max_amount, level, approver_type, approver_reference, required relationships/foreign keys, standard audit columns (created_at, updated_at), and validation annotations on mandatory fields (per: VAL-08: every cost center must resolve to at least one active approver at Level 1 before submissions are permitted against it.).</t>
  </si>
  <si>
    <t xml:space="preserve">approval_matrix_rule table created (T-353)</t>
  </si>
  <si>
    <t xml:space="preserve">T-355</t>
  </si>
  <si>
    <t xml:space="preserve">Create ApprovalMatrixRuleRepository with CRUD operations and custom queries</t>
  </si>
  <si>
    <t xml:space="preserve">Create ApprovalMatrixRuleRepository exposing standard CRUD operations on `approval_matrix_rule`, plus custom queries needed for Configurable Approval Matrix: Matrix is queried at submission time (FR-2.3) using the report's cost center and total amount to resolve the applicable approver chain.; Chain may include 1-3 levels depending on threshold breaches (BR-04)..</t>
  </si>
  <si>
    <t xml:space="preserve">ApprovalMatrixRule entity completed (T-354)</t>
  </si>
  <si>
    <t xml:space="preserve">T-356</t>
  </si>
  <si>
    <t xml:space="preserve">Implement Configurable Approval Matrix Service (business logic, rules &amp; validations)</t>
  </si>
  <si>
    <t xml:space="preserve">Implement the Configurable Approval Matrix service layer. Business flow: Matrix is queried at submission time (FR-2.3) using the report's cost center and total amount to resolve the applicable approver chain.; Chain may include 1-3 levels depending on threshold breaches (BR-04).. Validations to enforce: VAL-08: every cost center must resolve to at least one active approver at Level 1 before submissions are permitted against it.. Exception handling: Matrix resolves to a role (e.g., 'manager') but the employee has no manager assigned in UMS — falls back to a configured default approver group..</t>
  </si>
  <si>
    <t xml:space="preserve">ApprovalMatrixRuleRepository completed (T-355)</t>
  </si>
  <si>
    <t xml:space="preserve">T-357</t>
  </si>
  <si>
    <t xml:space="preserve">Implement Configurable Approval Matrix REST APIs</t>
  </si>
  <si>
    <t xml:space="preserve">Implement the REST API(s) for Configurable Approval Matrix: POST /api/v1/approval-matrix, PUT /api/v1/approval-matrix, GET /api/v1/approval-matrix. Requests must enforce the validations and business rules implemented in the Configurable Approval Matrix service, and return errors per: Matrix resolves to a role (e.g., 'manager') but the employee has no manager assigned in UMS — falls back to a configured default approver group..</t>
  </si>
  <si>
    <t xml:space="preserve">Configurable Approval Matrix service completed (T-356)</t>
  </si>
  <si>
    <t xml:space="preserve">T-358</t>
  </si>
  <si>
    <t xml:space="preserve">Write unit tests for Configurable Approval Matrix service and APIs</t>
  </si>
  <si>
    <t xml:space="preserve">Write unit tests covering the Configurable Approval Matrix service logic, all validations (VAL-08: every cost center must resolve to at least one active approver at Level 1 before submissions are permitted against it.), exception paths, and the REST API contract (POST /api/v1/approval-matrix, PUT /api/v1/approval-matrix, GET /api/v1/approval-matrix).</t>
  </si>
  <si>
    <t xml:space="preserve">Configurable Approval Matrix APIs completed (T-357)</t>
  </si>
  <si>
    <t xml:space="preserve">T-359</t>
  </si>
  <si>
    <t xml:space="preserve">Build Configurable Approval Matrix screen/UI component</t>
  </si>
  <si>
    <t xml:space="preserve">Build the Configurable Approval Matrix screen/UI component. UI behaviour: Grid configuration UI: cost centers as rows, threshold bands as columns, approver assignment per cell..</t>
  </si>
  <si>
    <t xml:space="preserve">Backend unit tests passed for Configurable Approval Matrix (T-358)</t>
  </si>
  <si>
    <t xml:space="preserve">T-360</t>
  </si>
  <si>
    <t xml:space="preserve">Integrate Configurable Approval Matrix APIs into UI and implement client-side validations</t>
  </si>
  <si>
    <t xml:space="preserve">Integrate POST /api/v1/approval-matrix, PUT /api/v1/approval-matrix, GET /api/v1/approval-matrix into the Configurable Approval Matrix screen; mirror the backend validations (VAL-08: every cost center must resolve to at least one active approver at Level 1 before submissions are permitted against it.) on the client, show loading states, and surface user-facing error messages for: Matrix resolves to a role (e.g., 'manager') but the employee has no manager assigned in UMS — falls back to a configured default approver group..</t>
  </si>
  <si>
    <t xml:space="preserve">Configurable Approval Matrix UI screen completed (T-359)</t>
  </si>
  <si>
    <t xml:space="preserve">T-361</t>
  </si>
  <si>
    <t xml:space="preserve">Perform UI testing for Configurable Approval Matrix</t>
  </si>
  <si>
    <t xml:space="preserve">Perform UI testing for the Configurable Approval Matrix screen: verify it behaves per the UI behaviour spec, all client-side validations trigger correctly, and API errors/loading states display as expected.</t>
  </si>
  <si>
    <t xml:space="preserve">Configurable Approval Matrix API integration completed (T-360)</t>
  </si>
  <si>
    <t xml:space="preserve">T-362</t>
  </si>
  <si>
    <t xml:space="preserve">Code review, documentation &amp; deployment for Configurable Approval Matrix</t>
  </si>
  <si>
    <t xml:space="preserve">Peer-review the Configurable Approval Matrix implementation (entity, repository, service, APIs, UI), update technical documentation, and deploy to the QA environment.</t>
  </si>
  <si>
    <t xml:space="preserve">UI testing passed for Configurable Approval Matrix (T-361)</t>
  </si>
  <si>
    <t xml:space="preserve">T-363</t>
  </si>
  <si>
    <t xml:space="preserve">EP07 - Finance Verification &amp; Reimbursement Management</t>
  </si>
  <si>
    <t xml:space="preserve">EP07-S1 - Finance verification queue and checklist</t>
  </si>
  <si>
    <t xml:space="preserve">Design the `expense_line_item` database table to support Finance Line-Item Verification. Columns: line_item_id, report_id, category_id, expense_date, merchant_name, description, amount, currency_id, exchange_rate, base_amount, tax_amount, cost_center_id, project_id, client_billable, line_status, created_at, updated_at. Purpose: Provide Finance a dedicated review step, independent of managerial approval, focused on compliance and payment-readiness rather than business justification.</t>
  </si>
  <si>
    <t xml:space="preserve">EP06 (Expense Approval Workflow Management) epic(s) completed</t>
  </si>
  <si>
    <t xml:space="preserve">- A line item with an unresolved policy exception cannot be marked Verified until the exception is resolved (
- Report reaching Pending Finance Verification status appears in the Finance queue
- Finance sees a queue of manager-approved reports awaiting verification
- Unit tests passed
- UI integrated successfully</t>
  </si>
  <si>
    <t xml:space="preserve">T-364</t>
  </si>
  <si>
    <t xml:space="preserve">Create the ExpenseLineItem entity/model class mapped 1:1 to the `expense_line_item` table, with fields for line_item_id, report_id, category_id, expense_date, merchant_name, description, amount, currency_id, exchange_rate, base_amount, tax_amount, cost_center_id, project_id, client_billable, line_status, created_at, updated_at, required relationships/foreign keys, standard audit columns (created_at, updated_at), and validation annotations on mandatory fields (per: A line item with an unresolved policy exception cannot be marked Verified until the exception is resolved (FR-5.3).).</t>
  </si>
  <si>
    <t xml:space="preserve">expense_line_item table created (T-363)</t>
  </si>
  <si>
    <t xml:space="preserve">T-365</t>
  </si>
  <si>
    <t xml:space="preserve">Create ExpenseLineItemRepository exposing standard CRUD operations on `expense_line_item`, plus custom queries needed for Finance Line-Item Verification: Report reaching Pending Finance Verification status appears in the Finance queue.; Verifier reviews line-by-line; may verify individual items independently, allowing partial progress on large reports..</t>
  </si>
  <si>
    <t xml:space="preserve">ExpenseLineItem entity completed (T-364)</t>
  </si>
  <si>
    <t xml:space="preserve">T-366</t>
  </si>
  <si>
    <t xml:space="preserve">Implement Finance Line-Item Verification Service (business logic, rules &amp; validations)</t>
  </si>
  <si>
    <t xml:space="preserve">Implement the Finance Line-Item Verification service layer. Business flow: Report reaching Pending Finance Verification status appears in the Finance queue.; Verifier reviews line-by-line; may verify individual items independently, allowing partial progress on large reports.; Once all line items are Verified, the report as a whole advances per BR-08 (split routing for internal vs. client-billable).. Validations to enforce: A line item with an unresolved policy exception cannot be marked Verified until the exception is resolved (FR-5.3).. Exception handling: Line item's receipt is illegible or missing despite passing the mandation check (e.g., a declared sub-threshold item later found questionable) — Finance can raise a query without blocking the rest of the report..</t>
  </si>
  <si>
    <t xml:space="preserve">ExpenseLineItemRepository completed (T-365)</t>
  </si>
  <si>
    <t xml:space="preserve">T-367</t>
  </si>
  <si>
    <t xml:space="preserve">Implement Finance Line-Item Verification REST APIs</t>
  </si>
  <si>
    <t xml:space="preserve">Implement the REST API(s) for Finance Line-Item Verification: POST /api/v1/expense-reports/{id}/line-items/{lineItemId}/verify. Requests must enforce the validations and business rules implemented in the Finance Line-Item Verification service, and return errors per: Line item's receipt is illegible or missing despite passing the mandation check (e.g., a declared sub-threshold item later found questionable) — Finance can raise a query without blocking the rest of the report..</t>
  </si>
  <si>
    <t xml:space="preserve">Finance Line-Item Verification service completed (T-366)</t>
  </si>
  <si>
    <t xml:space="preserve">T-368</t>
  </si>
  <si>
    <t xml:space="preserve">Write unit tests for Finance Line-Item Verification service and APIs</t>
  </si>
  <si>
    <t xml:space="preserve">Write unit tests covering the Finance Line-Item Verification service logic, all validations (A line item with an unresolved policy exception cannot be marked Verified until the exception is resolved (FR-5.3).), exception paths, and the REST API contract (POST /api/v1/expense-reports/{id}/line-items/{lineItemId}/verify).</t>
  </si>
  <si>
    <t xml:space="preserve">Finance Line-Item Verification APIs completed (T-367)</t>
  </si>
  <si>
    <t xml:space="preserve">T-369</t>
  </si>
  <si>
    <t xml:space="preserve">Build Finance Line-Item Verification screen/UI component</t>
  </si>
  <si>
    <t xml:space="preserve">Build the Finance Line-Item Verification screen/UI component. UI behaviour: Line-item checklist view with per-item Verify/Query actions and a running progress indicator..</t>
  </si>
  <si>
    <t xml:space="preserve">Backend unit tests passed for Finance Line-Item Verification (T-368)</t>
  </si>
  <si>
    <t xml:space="preserve">T-370</t>
  </si>
  <si>
    <t xml:space="preserve">Integrate Finance Line-Item Verification APIs into UI and implement client-side validations</t>
  </si>
  <si>
    <t xml:space="preserve">Integrate POST /api/v1/expense-reports/{id}/line-items/{lineItemId}/verify into the Finance Line-Item Verification screen; mirror the backend validations (A line item with an unresolved policy exception cannot be marked Verified until the exception is resolved (FR-5.3).) on the client, show loading states, and surface user-facing error messages for: Line item's receipt is illegible or missing despite passing the mandation check (e.g., a declared sub-threshold item later found questionable) — Finance can raise a query without blocking the rest of the report..</t>
  </si>
  <si>
    <t xml:space="preserve">Finance Line-Item Verification UI screen completed (T-369)</t>
  </si>
  <si>
    <t xml:space="preserve">T-371</t>
  </si>
  <si>
    <t xml:space="preserve">Perform UI testing for Finance Line-Item Verification</t>
  </si>
  <si>
    <t xml:space="preserve">Perform UI testing for the Finance Line-Item Verification screen: verify it behaves per the UI behaviour spec, all client-side validations trigger correctly, and API errors/loading states display as expected.</t>
  </si>
  <si>
    <t xml:space="preserve">Finance Line-Item Verification API integration completed (T-370)</t>
  </si>
  <si>
    <t xml:space="preserve">T-372</t>
  </si>
  <si>
    <t xml:space="preserve">Code review, documentation &amp; deployment for Finance Line-Item Verification</t>
  </si>
  <si>
    <t xml:space="preserve">Peer-review the Finance Line-Item Verification implementation (entity, repository, service, APIs, UI), update technical documentation, and deploy to the QA environment.</t>
  </si>
  <si>
    <t xml:space="preserve">UI testing passed for Finance Line-Item Verification (T-371)</t>
  </si>
  <si>
    <t xml:space="preserve">T-373</t>
  </si>
  <si>
    <t xml:space="preserve">View mapped GL Account during verification</t>
  </si>
  <si>
    <t xml:space="preserve">Extend the Finance verification line-item view to resolve and display each line item's mapped GL Account (via expense_line_item.category_id -&gt; expense_category.gl_account_id -&gt; gl_account) so Finance can see the GL code/name alongside the category during review, not just the category name.</t>
  </si>
  <si>
    <t xml:space="preserve">Finance Line-Item Verification reviewed &amp; deployed to QA (T-372)</t>
  </si>
  <si>
    <t xml:space="preserve">T-374</t>
  </si>
  <si>
    <t xml:space="preserve">Validate Expense Category to GL Account mapping</t>
  </si>
  <si>
    <t xml:space="preserve">Add a verification-time check confirming the line item's Expense Category still has a valid, Active GL Account mapping (gl_account_id references an Active gl_account row). A line item whose category is flagged 'GL Mapping Invalid' cannot be marked Verified until Finance/Admin remaps the category to an Active GL Account.</t>
  </si>
  <si>
    <t xml:space="preserve">GL Account visibility in verification view completed (T-373)</t>
  </si>
  <si>
    <t xml:space="preserve">T-375</t>
  </si>
  <si>
    <t xml:space="preserve">Include GL Account in Invoice/Accounting integration payload</t>
  </si>
  <si>
    <t xml:space="preserve">Extend the outbound Invoice/Accounting integration payload (FR-8.3 sync to Invoice Module) to include the GL Account code and name resolved from the verified line item's Expense Category, so downstream accounting postings carry the correct GL Account without a second lookup.</t>
  </si>
  <si>
    <t xml:space="preserve">Category-to-GL-Account mapping validation completed (T-374)</t>
  </si>
  <si>
    <t xml:space="preserve">T-376</t>
  </si>
  <si>
    <t xml:space="preserve">EP07-S2 - Mark report Approved for Payment</t>
  </si>
  <si>
    <t xml:space="preserve">Finance Line-Item Verification module completed (EP07-S1)</t>
  </si>
  <si>
    <t xml:space="preserve">- A line item with an unresolved policy exception cannot be marked Verified until the exception is resolved (
- Report reaching Pending Finance Verification status appears in the Finance queue
- Finance can mark a verified internal report Approved for Payment once all checks pass
- Unit tests passed
- UI integrated successfully</t>
  </si>
  <si>
    <t xml:space="preserve">T-377</t>
  </si>
  <si>
    <t xml:space="preserve">expense_line_item table created (T-376)</t>
  </si>
  <si>
    <t xml:space="preserve">T-378</t>
  </si>
  <si>
    <t xml:space="preserve">ExpenseLineItem entity completed (T-377)</t>
  </si>
  <si>
    <t xml:space="preserve">T-379</t>
  </si>
  <si>
    <t xml:space="preserve">ExpenseLineItemRepository completed (T-378)</t>
  </si>
  <si>
    <t xml:space="preserve">T-380</t>
  </si>
  <si>
    <t xml:space="preserve">Finance Line-Item Verification service completed (T-379)</t>
  </si>
  <si>
    <t xml:space="preserve">T-381</t>
  </si>
  <si>
    <t xml:space="preserve">Finance Line-Item Verification APIs completed (T-380)</t>
  </si>
  <si>
    <t xml:space="preserve">T-382</t>
  </si>
  <si>
    <t xml:space="preserve">Backend unit tests passed for Finance Line-Item Verification (T-381)</t>
  </si>
  <si>
    <t xml:space="preserve">T-383</t>
  </si>
  <si>
    <t xml:space="preserve">Finance Line-Item Verification UI screen completed (T-382)</t>
  </si>
  <si>
    <t xml:space="preserve">T-384</t>
  </si>
  <si>
    <t xml:space="preserve">Finance Line-Item Verification API integration completed (T-383)</t>
  </si>
  <si>
    <t xml:space="preserve">T-385</t>
  </si>
  <si>
    <t xml:space="preserve">UI testing passed for Finance Line-Item Verification (T-384)</t>
  </si>
  <si>
    <t xml:space="preserve">T-386</t>
  </si>
  <si>
    <t xml:space="preserve">EP07-S3 - Manually mark report Reimbursed</t>
  </si>
  <si>
    <t xml:space="preserve">Finance Line-Item Verification module completed (EP07-S2)</t>
  </si>
  <si>
    <t xml:space="preserve">- A line item with an unresolved policy exception cannot be marked Verified until the exception is resolved (
- Report reaching Pending Finance Verification status appears in the Finance queue
- Finance can manually mark an Approved-for-Payment report Reimbursed once payment is confirmed outside the ERP
- Unit tests passed
- UI integrated successfully</t>
  </si>
  <si>
    <t xml:space="preserve">T-387</t>
  </si>
  <si>
    <t xml:space="preserve">expense_line_item table created (T-386)</t>
  </si>
  <si>
    <t xml:space="preserve">T-388</t>
  </si>
  <si>
    <t xml:space="preserve">ExpenseLineItem entity completed (T-387)</t>
  </si>
  <si>
    <t xml:space="preserve">T-389</t>
  </si>
  <si>
    <t xml:space="preserve">ExpenseLineItemRepository completed (T-388)</t>
  </si>
  <si>
    <t xml:space="preserve">T-390</t>
  </si>
  <si>
    <t xml:space="preserve">Finance Line-Item Verification service completed (T-389)</t>
  </si>
  <si>
    <t xml:space="preserve">T-391</t>
  </si>
  <si>
    <t xml:space="preserve">Finance Line-Item Verification APIs completed (T-390)</t>
  </si>
  <si>
    <t xml:space="preserve">T-392</t>
  </si>
  <si>
    <t xml:space="preserve">Backend unit tests passed for Finance Line-Item Verification (T-391)</t>
  </si>
  <si>
    <t xml:space="preserve">T-393</t>
  </si>
  <si>
    <t xml:space="preserve">Finance Line-Item Verification UI screen completed (T-392)</t>
  </si>
  <si>
    <t xml:space="preserve">T-394</t>
  </si>
  <si>
    <t xml:space="preserve">Finance Line-Item Verification API integration completed (T-393)</t>
  </si>
  <si>
    <t xml:space="preserve">T-395</t>
  </si>
  <si>
    <t xml:space="preserve">UI testing passed for Finance Line-Item Verification (T-394)</t>
  </si>
  <si>
    <t xml:space="preserve">T-396</t>
  </si>
  <si>
    <t xml:space="preserve">EP07-S4 - Track outstanding liability (Approved but not Reimbursed)</t>
  </si>
  <si>
    <t xml:space="preserve">Design the `expense_report` database table to support Finance Reconciliation Report. Columns: report_id, report_number, employee_id, title, business_purpose, cost_center_id, report_status, currency_id, total_amount, reimbursable_amount, submitted_at, approved_at, closed_at, created_at, updated_at. Purpose: Support the Finance/AP team's period-close activities by reconciling verified, reimbursed, and invoiced amounts.</t>
  </si>
  <si>
    <t xml:space="preserve">Sprint 10</t>
  </si>
  <si>
    <t xml:space="preserve">2026-12-27</t>
  </si>
  <si>
    <t xml:space="preserve">Finance Line-Item Verification module completed (EP07-S3)</t>
  </si>
  <si>
    <t xml:space="preserve">- Report generation is restricted to Finance Controller/AP Officer roles
- Report is generated for a selected period, cross-referencing expense_line_item, cash_advance_adjustment, an
- Finance can view, at any time, the total value of reports Approved for Payment but not yet Reimbursed
- Unit tests passed
- UI integrated successfully</t>
  </si>
  <si>
    <t xml:space="preserve">T-397</t>
  </si>
  <si>
    <t xml:space="preserve">Create the ExpenseReport entity/model class mapped 1:1 to the `expense_report` table, with fields for report_id, report_number, employee_id, title, business_purpose, cost_center_id, report_status, currency_id, total_amount, reimbursable_amount, submitted_at, approved_at, closed_at, created_at, updated_at, required relationships/foreign keys, standard audit columns (created_at, updated_at), and validation annotations on mandatory fields (per: Report generation is restricted to Finance Controller/AP Officer roles.).</t>
  </si>
  <si>
    <t xml:space="preserve">expense_report table created (T-396)</t>
  </si>
  <si>
    <t xml:space="preserve">T-398</t>
  </si>
  <si>
    <t xml:space="preserve">Create ExpenseReportRepository exposing standard CRUD operations on `expense_report`, plus custom queries needed for Finance Reconciliation Report: Report is generated for a selected period, cross-referencing expense_line_item, cash_advance_adjustment, and invoice_sync_log data.; Discrepancies (e.g., Verified but not yet Reimbursed beyond an expected SLA) are highlighted as action items..</t>
  </si>
  <si>
    <t xml:space="preserve">ExpenseReport entity completed (T-397)</t>
  </si>
  <si>
    <t xml:space="preserve">T-399</t>
  </si>
  <si>
    <t xml:space="preserve">Implement Finance Reconciliation Report Service (business logic, rules &amp; validations)</t>
  </si>
  <si>
    <t xml:space="preserve">Implement the Finance Reconciliation Report service layer. Business flow: Report is generated for a selected period, cross-referencing expense_line_item, cash_advance_adjustment, and invoice_sync_log data.; Discrepancies (e.g., Verified but not yet Reimbursed beyond an expected SLA) are highlighted as action items.. Validations to enforce: Report generation is restricted to Finance Controller/AP Officer roles.. Exception handling: Large data volume for enterprise-wide multi-year queries — report generation for wide date ranges is executed asynchronously with an email/notification on completion rather than a blocking UI wait, to respect NFR-01..</t>
  </si>
  <si>
    <t xml:space="preserve">ExpenseReportRepository completed (T-398)</t>
  </si>
  <si>
    <t xml:space="preserve">T-400</t>
  </si>
  <si>
    <t xml:space="preserve">Implement Finance Reconciliation Report REST APIs</t>
  </si>
  <si>
    <t xml:space="preserve">Implement the REST API(s) for Finance Reconciliation Report: GET /api/v1/reports/finance-reconciliation?periodStart=&amp;periodEnd=. Requests must enforce the validations and business rules implemented in the Finance Reconciliation Report service, and return errors per: Large data volume for enterprise-wide multi-year queries — report generation for wide date ranges is executed asynchronously with an email/notification on completion rather than a blocking UI wait, to respect NFR-01..</t>
  </si>
  <si>
    <t xml:space="preserve">Finance Reconciliation Report service completed (T-399)</t>
  </si>
  <si>
    <t xml:space="preserve">T-401</t>
  </si>
  <si>
    <t xml:space="preserve">Write unit tests for Finance Reconciliation Report service and APIs</t>
  </si>
  <si>
    <t xml:space="preserve">Write unit tests covering the Finance Reconciliation Report service logic, all validations (Report generation is restricted to Finance Controller/AP Officer roles.), exception paths, and the REST API contract (GET /api/v1/reports/finance-reconciliation?periodStart=&amp;periodEnd=).</t>
  </si>
  <si>
    <t xml:space="preserve">Finance Reconciliation Report APIs completed (T-400)</t>
  </si>
  <si>
    <t xml:space="preserve">T-402</t>
  </si>
  <si>
    <t xml:space="preserve">Build Finance Reconciliation Report screen/UI component</t>
  </si>
  <si>
    <t xml:space="preserve">Build the Finance Reconciliation Report screen/UI component. UI behaviour: Filterable table with export-to-Excel/CSV action; discrepancy rows highlighted..</t>
  </si>
  <si>
    <t xml:space="preserve">Backend unit tests passed for Finance Reconciliation Report (T-401)</t>
  </si>
  <si>
    <t xml:space="preserve">T-403</t>
  </si>
  <si>
    <t xml:space="preserve">Integrate Finance Reconciliation Report APIs into UI and implement client-side validations</t>
  </si>
  <si>
    <t xml:space="preserve">Integrate GET /api/v1/reports/finance-reconciliation?periodStart=&amp;periodEnd= into the Finance Reconciliation Report screen; mirror the backend validations (Report generation is restricted to Finance Controller/AP Officer roles.) on the client, show loading states, and surface user-facing error messages for: Large data volume for enterprise-wide multi-year queries — report generation for wide date ranges is executed asynchronously with an email/notification on completion rather than a blocking UI wait, to respect NFR-01..</t>
  </si>
  <si>
    <t xml:space="preserve">Finance Reconciliation Report UI screen completed (T-402)</t>
  </si>
  <si>
    <t xml:space="preserve">T-404</t>
  </si>
  <si>
    <t xml:space="preserve">Perform UI testing for Finance Reconciliation Report</t>
  </si>
  <si>
    <t xml:space="preserve">Perform UI testing for the Finance Reconciliation Report screen: verify it behaves per the UI behaviour spec, all client-side validations trigger correctly, and API errors/loading states display as expected.</t>
  </si>
  <si>
    <t xml:space="preserve">Finance Reconciliation Report API integration completed (T-403)</t>
  </si>
  <si>
    <t xml:space="preserve">T-405</t>
  </si>
  <si>
    <t xml:space="preserve">Code review, documentation &amp; deployment for Finance Reconciliation Report</t>
  </si>
  <si>
    <t xml:space="preserve">Peer-review the Finance Reconciliation Report implementation (entity, repository, service, APIs, UI), update technical documentation, and deploy to the QA environment.</t>
  </si>
  <si>
    <t xml:space="preserve">UI testing passed for Finance Reconciliation Report (T-404)</t>
  </si>
  <si>
    <t xml:space="preserve">T-406</t>
  </si>
  <si>
    <t xml:space="preserve">EP07-S5 - Reject / send back from verification with reason</t>
  </si>
  <si>
    <t xml:space="preserve">Design verification_query database table</t>
  </si>
  <si>
    <t xml:space="preserve">Design the `verification_query` database table to support Query/Return to Employee. Columns: query_id, line_item_id FK, raised_by, reason, employee_response, status, resolved_at. Purpose: Allow Finance to request clarification or correction on a specific line item without rejecting the entire report.</t>
  </si>
  <si>
    <t xml:space="preserve">Finance Reconciliation Report module completed (EP07-S4)</t>
  </si>
  <si>
    <t xml:space="preserve">- If the corrected amount increases beyond a configured percentage/absolute threshold, the report is re-route
- Finance raises a query with a specific question/reason on a line item
- Finance can send a report back to the employee or manager with a reason if verification fails
- Unit tests passed
- UI integrated successfully</t>
  </si>
  <si>
    <t xml:space="preserve">T-407</t>
  </si>
  <si>
    <t xml:space="preserve">Create VerificationQuery entity mapped to verification_query table</t>
  </si>
  <si>
    <t xml:space="preserve">Create the VerificationQuery entity/model class mapped 1:1 to the `verification_query` table, with fields for query_id, line_item_id FK, raised_by, reason, employee_response, status, resolved_at, required relationships/foreign keys, standard audit columns (created_at, updated_at), and validation annotations on mandatory fields (per: If the corrected amount increases beyond a configured percentage/absolute threshold, the report is re-routed through Manager Approval to preserve approval integrity.).</t>
  </si>
  <si>
    <t xml:space="preserve">verification_query table created (T-406)</t>
  </si>
  <si>
    <t xml:space="preserve">T-408</t>
  </si>
  <si>
    <t xml:space="preserve">Create VerificationQueryRepository with CRUD operations and custom queries</t>
  </si>
  <si>
    <t xml:space="preserve">Create VerificationQueryRepository exposing standard CRUD operations on `verification_query`, plus custom queries needed for Query/Return to Employee: Finance raises a query with a specific question/reason on a line item.; Report moves to Query Raised (editable) status; employee responds by editing the flagged item and/or adding a comment..</t>
  </si>
  <si>
    <t xml:space="preserve">VerificationQuery entity completed (T-407)</t>
  </si>
  <si>
    <t xml:space="preserve">T-409</t>
  </si>
  <si>
    <t xml:space="preserve">Implement Query/Return to Employee Service (business logic, rules &amp; validations)</t>
  </si>
  <si>
    <t xml:space="preserve">Implement the Query/Return to Employee service layer. Business flow: Finance raises a query with a specific question/reason on a line item.; Report moves to Query Raised (editable) status; employee responds by editing the flagged item and/or adding a comment.; Employee re-submits; report returns directly to Pending Finance Verification (bypassing Manager Approval again, since the business justification was already approved) unless the amount materially changed beyond a configured re-approval threshold.. Validations to enforce: If the corrected amount increases beyond a configured percentage/absolute threshold, the report is re-routed through Manager Approval to preserve approval integrity.. Exception handling: Employee disputes the query and requests direct discussion — system supports a comment thread on the line item as a lightweight resolution channel..</t>
  </si>
  <si>
    <t xml:space="preserve">VerificationQueryRepository completed (T-408)</t>
  </si>
  <si>
    <t xml:space="preserve">T-410</t>
  </si>
  <si>
    <t xml:space="preserve">Implement Query/Return to Employee REST APIs</t>
  </si>
  <si>
    <t xml:space="preserve">Implement the REST API(s) for Query/Return to Employee: POST /api/v1/expense-reports/{id}/line-items/{lineItemId}/query. Requests must enforce the validations and business rules implemented in the Query/Return to Employee service, and return errors per: Employee disputes the query and requests direct discussion — system supports a comment thread on the line item as a lightweight resolution channel..</t>
  </si>
  <si>
    <t xml:space="preserve">Query/Return to Employee service completed (T-409)</t>
  </si>
  <si>
    <t xml:space="preserve">T-411</t>
  </si>
  <si>
    <t xml:space="preserve">Write unit tests for Query/Return to Employee service and APIs</t>
  </si>
  <si>
    <t xml:space="preserve">Write unit tests covering the Query/Return to Employee service logic, all validations (If the corrected amount increases beyond a configured percentage/absolute threshold, the report is re-routed through Manager Approval to preserve approval integrity.), exception paths, and the REST API contract (POST /api/v1/expense-reports/{id}/line-items/{lineItemId}/query).</t>
  </si>
  <si>
    <t xml:space="preserve">Query/Return to Employee APIs completed (T-410)</t>
  </si>
  <si>
    <t xml:space="preserve">T-412</t>
  </si>
  <si>
    <t xml:space="preserve">Build Query/Return to Employee screen/UI component</t>
  </si>
  <si>
    <t xml:space="preserve">Build the Query/Return to Employee screen/UI component. UI behaviour: Query banner prominently displayed on the affected line item with Finance's comment; resolved queries remain visible in a collapsed history..</t>
  </si>
  <si>
    <t xml:space="preserve">Backend unit tests passed for Query/Return to Employee (T-411)</t>
  </si>
  <si>
    <t xml:space="preserve">T-413</t>
  </si>
  <si>
    <t xml:space="preserve">Integrate Query/Return to Employee APIs into UI and implement client-side validations</t>
  </si>
  <si>
    <t xml:space="preserve">Integrate POST /api/v1/expense-reports/{id}/line-items/{lineItemId}/query into the Query/Return to Employee screen; mirror the backend validations (If the corrected amount increases beyond a configured percentage/absolute threshold, the report is re-routed through Manager Approval to preserve approval integrity.) on the client, show loading states, and surface user-facing error messages for: Employee disputes the query and requests direct discussion — system supports a comment thread on the line item as a lightweight resolution channel..</t>
  </si>
  <si>
    <t xml:space="preserve">Query/Return to Employee UI screen completed (T-412)</t>
  </si>
  <si>
    <t xml:space="preserve">T-414</t>
  </si>
  <si>
    <t xml:space="preserve">Perform UI testing for Query/Return to Employee</t>
  </si>
  <si>
    <t xml:space="preserve">Perform UI testing for the Query/Return to Employee screen: verify it behaves per the UI behaviour spec, all client-side validations trigger correctly, and API errors/loading states display as expected.</t>
  </si>
  <si>
    <t xml:space="preserve">Query/Return to Employee API integration completed (T-413)</t>
  </si>
  <si>
    <t xml:space="preserve">T-415</t>
  </si>
  <si>
    <t xml:space="preserve">Code review, documentation &amp; deployment for Query/Return to Employee</t>
  </si>
  <si>
    <t xml:space="preserve">Peer-review the Query/Return to Employee implementation (entity, repository, service, APIs, UI), update technical documentation, and deploy to the QA environment.</t>
  </si>
  <si>
    <t xml:space="preserve">UI testing passed for Query/Return to Employee (T-414)</t>
  </si>
  <si>
    <t xml:space="preserve">T-416</t>
  </si>
  <si>
    <t xml:space="preserve">EP08 - Client Billable Expense &amp; Invoice Integration</t>
  </si>
  <si>
    <t xml:space="preserve">EP08-S1 - Tag expense as client-billable at creation</t>
  </si>
  <si>
    <t xml:space="preserve">Design the `expense_line_item` database table to support Mark Expense as Client Billable. Columns: line_item_id, report_id, category_id, expense_date, merchant_name, description, amount, currency_id, exchange_rate, base_amount, tax_amount, cost_center_id, project_id, client_billable, line_status, created_at, updated_at. Purpose: Identify which portions of an expense report are rebillable to a client rather than absorbed internally.</t>
  </si>
  <si>
    <t xml:space="preserve">EP07 (Finance Verification &amp; Reimbursement Management); EP09 (Cost Center &amp; Expense Allocation Management) epic(s) completed</t>
  </si>
  <si>
    <t xml:space="preserve">- A line item cannot be marked Client Billable without a valid Project/Client reference (VAL-10)
- Employee toggles Client Billable on a line item, which then requires a Project/Client reference (FR-8.2)
- A line item or report can be tagged to a specific client/project as billable at the point of creation
- Unit tests passed
- UI integrated successfully</t>
  </si>
  <si>
    <t xml:space="preserve">T-417</t>
  </si>
  <si>
    <t xml:space="preserve">Create the ExpenseLineItem entity/model class mapped 1:1 to the `expense_line_item` table, with fields for line_item_id, report_id, category_id, expense_date, merchant_name, description, amount, currency_id, exchange_rate, base_amount, tax_amount, cost_center_id, project_id, client_billable, line_status, created_at, updated_at, required relationships/foreign keys, standard audit columns (created_at, updated_at), and validation annotations on mandatory fields (per: A line item cannot be marked Client Billable without a valid Project/Client reference (VAL-10).).</t>
  </si>
  <si>
    <t xml:space="preserve">expense_line_item table created (T-416)</t>
  </si>
  <si>
    <t xml:space="preserve">T-418</t>
  </si>
  <si>
    <t xml:space="preserve">Create ExpenseLineItemRepository exposing standard CRUD operations on `expense_line_item`, plus custom queries needed for Mark Expense as Client Billable: Employee toggles Client Billable on a line item, which then requires a Project/Client reference (FR-8.2).; Billable status and its associated project reference travel with the item through approval and verification (BR-08) independent of other items on the same report..</t>
  </si>
  <si>
    <t xml:space="preserve">ExpenseLineItem entity completed (T-417)</t>
  </si>
  <si>
    <t xml:space="preserve">T-419</t>
  </si>
  <si>
    <t xml:space="preserve">Implement Mark Expense as Client Billable Service (business logic, rules &amp; validations)</t>
  </si>
  <si>
    <t xml:space="preserve">Implement the Mark Expense as Client Billable service layer. Business flow: Employee toggles Client Billable on a line item, which then requires a Project/Client reference (FR-8.2).; Billable status and its associated project reference travel with the item through approval and verification (BR-08) independent of other items on the same report.. Validations to enforce: A line item cannot be marked Client Billable without a valid Project/Client reference (VAL-10).. Exception handling: Employee marks an item billable but the associated project closes before Finance Verification completes — item is flagged 'Project Closed' and Finance must reassign or convert it to internal..</t>
  </si>
  <si>
    <t xml:space="preserve">ExpenseLineItemRepository completed (T-418)</t>
  </si>
  <si>
    <t xml:space="preserve">T-420</t>
  </si>
  <si>
    <t xml:space="preserve">Implement Mark Expense as Client Billable REST APIs</t>
  </si>
  <si>
    <t xml:space="preserve">Implement the REST API(s) for Mark Expense as Client Billable: PUT /api/v1/expense-reports/{id}/line-items/{lineItemId}. Requests must enforce the validations and business rules implemented in the Mark Expense as Client Billable service, and return errors per: Employee marks an item billable but the associated project closes before Finance Verification completes — item is flagged 'Project Closed' and Finance must reassign or convert it to internal..</t>
  </si>
  <si>
    <t xml:space="preserve">Mark Expense as Client Billable service completed (T-419)</t>
  </si>
  <si>
    <t xml:space="preserve">T-421</t>
  </si>
  <si>
    <t xml:space="preserve">Write unit tests for Mark Expense as Client Billable service and APIs</t>
  </si>
  <si>
    <t xml:space="preserve">Write unit tests covering the Mark Expense as Client Billable service logic, all validations (A line item cannot be marked Client Billable without a valid Project/Client reference (VAL-10).), exception paths, and the REST API contract (PUT /api/v1/expense-reports/{id}/line-items/{lineItemId}).</t>
  </si>
  <si>
    <t xml:space="preserve">Mark Expense as Client Billable APIs completed (T-420)</t>
  </si>
  <si>
    <t xml:space="preserve">T-422</t>
  </si>
  <si>
    <t xml:space="preserve">Build Mark Expense as Client Billable screen/UI component</t>
  </si>
  <si>
    <t xml:space="preserve">Build the Mark Expense as Client Billable screen/UI component. UI behaviour: Toggle switch with an adjacent project-picker that appears only when enabled..</t>
  </si>
  <si>
    <t xml:space="preserve">Backend unit tests passed for Mark Expense as Client Billable (T-421)</t>
  </si>
  <si>
    <t xml:space="preserve">T-423</t>
  </si>
  <si>
    <t xml:space="preserve">Integrate Mark Expense as Client Billable APIs into UI and implement client-side validations</t>
  </si>
  <si>
    <t xml:space="preserve">Integrate PUT /api/v1/expense-reports/{id}/line-items/{lineItemId} into the Mark Expense as Client Billable screen; mirror the backend validations (A line item cannot be marked Client Billable without a valid Project/Client reference (VAL-10).) on the client, show loading states, and surface user-facing error messages for: Employee marks an item billable but the associated project closes before Finance Verification completes — item is flagged 'Project Closed' and Finance must reassign or convert it to internal..</t>
  </si>
  <si>
    <t xml:space="preserve">Mark Expense as Client Billable UI screen completed (T-422)</t>
  </si>
  <si>
    <t xml:space="preserve">T-424</t>
  </si>
  <si>
    <t xml:space="preserve">Perform UI testing for Mark Expense as Client Billable</t>
  </si>
  <si>
    <t xml:space="preserve">Perform UI testing for the Mark Expense as Client Billable screen: verify it behaves per the UI behaviour spec, all client-side validations trigger correctly, and API errors/loading states display as expected.</t>
  </si>
  <si>
    <t xml:space="preserve">Mark Expense as Client Billable API integration completed (T-423)</t>
  </si>
  <si>
    <t xml:space="preserve">T-425</t>
  </si>
  <si>
    <t xml:space="preserve">Code review, documentation &amp; deployment for Mark Expense as Client Billable</t>
  </si>
  <si>
    <t xml:space="preserve">Peer-review the Mark Expense as Client Billable implementation (entity, repository, service, APIs, UI), update technical documentation, and deploy to the QA environment.</t>
  </si>
  <si>
    <t xml:space="preserve">UI testing passed for Mark Expense as Client Billable (T-424)</t>
  </si>
  <si>
    <t xml:space="preserve">T-426</t>
  </si>
  <si>
    <t xml:space="preserve">EP08-S2 - Reimburse employee first for client-billable expense</t>
  </si>
  <si>
    <t xml:space="preserve">Design project_reference_cache database table</t>
  </si>
  <si>
    <t xml:space="preserve">Design the `project_reference_cache` database table and related table(s) resource_allocation_cache to support Project/Client Association. Columns: project_id, project_code, client_name, status, contract_reference, synced_at. Purpose: Link billable expense line items to the correct project and client record maintained in the Project Management System (PMS), scoped to projects the employee is actually staffed on per the Resource Management System (R...</t>
  </si>
  <si>
    <t xml:space="preserve">Mark Expense as Client Billable module completed (EP08-S1)</t>
  </si>
  <si>
    <t xml:space="preserve">- VAL-10: project must be Active in PMS as of the expense date
- Project must appear in the employee's current resource_allocation_cache entries, or the line item is flagge
- Employee searches and selects a project from a PMS-sourced list, filtered to only those projects where reso
- A verified client-billable expense follows the same Approved-for-Payment / Reimbursed flow as an internal e...
- Unit tests passed
- UI integrated successfully</t>
  </si>
  <si>
    <t xml:space="preserve">T-427</t>
  </si>
  <si>
    <t xml:space="preserve">Create ProjectReferenceCache entity mapped to project_reference_cache table</t>
  </si>
  <si>
    <t xml:space="preserve">Create the ProjectReferenceCache entity/model class mapped 1:1 to the `project_reference_cache` table, with fields for project_id, project_code, client_name, status, contract_reference, synced_at, required relationships/foreign keys, standard audit columns (created_at, updated_at), and validation annotations on mandatory fields (per: VAL-10: project must be Active in PMS as of the expense date.; Project must appear in the employee's current resource_allocation_cache entries, or the line item is flagged 'Staffing Not Confirmed' for Finance review rather than blocked outright.).</t>
  </si>
  <si>
    <t xml:space="preserve">project_reference_cache table created (T-426)</t>
  </si>
  <si>
    <t xml:space="preserve">T-428</t>
  </si>
  <si>
    <t xml:space="preserve">Create ProjectReferenceCacheRepository with CRUD operations and custom queries</t>
  </si>
  <si>
    <t xml:space="preserve">Create ProjectReferenceCacheRepository exposing standard CRUD operations on `project_reference_cache`, plus custom queries needed for Project/Client Association: Employee searches and selects a project from a PMS-sourced list, filtered to only those projects where resource_allocation_cache shows the employee currently staffed (allocation_percentage &gt; 0 and within the effective staffing window).; If the employee has no active RMS staffing record for any project, the picker falls back to showing all active PMS projects with a visible 'not confirmed staffed' indicator, and the line item is flagged for Finance's attention during verification rather than silently blocked — since RMS staffing data may lag real assignment in fast-moving engagements..</t>
  </si>
  <si>
    <t xml:space="preserve">ProjectReferenceCache entity completed (T-427)</t>
  </si>
  <si>
    <t xml:space="preserve">T-429</t>
  </si>
  <si>
    <t xml:space="preserve">Implement Project/Client Association Service (business logic, rules &amp; validations)</t>
  </si>
  <si>
    <t xml:space="preserve">Implement the Project/Client Association service layer. Business flow: Employee searches and selects a project from a PMS-sourced list, filtered to only those projects where resource_allocation_cache shows the employee currently staffed (allocation_percentage &gt; 0 and within the effective staffing window).; If the employee has no active RMS staffing record for any project, the picker falls back to showing all active PMS projects with a visible 'not confirmed staffed' indicator, and the line item is flagged for Finance's attention during verification rather than silently blocked — since RMS staffing data may lag real assignment in fast-moving engagements.; Selected project reference is stored with the line item for downstream invoice generation context.. Validations to enforce: VAL-10: project must be Active in PMS as of the expense date.; Project must appear in the employee's current resource_allocation_cache entries, or the line item is flagged 'Staffing Not Confirmed' for Finance review rather than blocked outright.. Exception handling: PMS is temporarily unreachable during project selection — system serves the last-cached project list with a 'data may be up to X hours old' notice; billable marking is still permitted but flagged for Finance to re-verify project status before invoice sync.; RMS is temporarily unreachable — the picker falls back to the full PMS-scoped list (unfiltered by staffing) with the same 'not confirmed staffed' flag applied to every selection made during the outage..</t>
  </si>
  <si>
    <t xml:space="preserve">ProjectReferenceCacheRepository completed (T-428)</t>
  </si>
  <si>
    <t xml:space="preserve">T-430</t>
  </si>
  <si>
    <t xml:space="preserve">Implement Project/Client Association REST APIs</t>
  </si>
  <si>
    <t xml:space="preserve">Implement the REST API(s) for Project/Client Association: GET /api/v1/projects?employeeId=&amp;status=active. Requests must enforce the validations and business rules implemented in the Project/Client Association service, and return errors per: PMS is temporarily unreachable during project selection — system serves the last-cached project list with a 'data may be up to X hours old' notice; billable marking is still permitted but flagged for Finance to re-verify project status before invoice sync..</t>
  </si>
  <si>
    <t xml:space="preserve">Project/Client Association service completed (T-429)</t>
  </si>
  <si>
    <t xml:space="preserve">T-431</t>
  </si>
  <si>
    <t xml:space="preserve">Write unit tests for Project/Client Association service and APIs</t>
  </si>
  <si>
    <t xml:space="preserve">Write unit tests covering the Project/Client Association service logic, all validations (VAL-10: project must be Active in PMS as of the expense date.; Project must appear in the employee's current resource_allocation_cache entries, or the line item is flagged 'Staffing Not Confirmed' for Finance review rather than blocked outright.), exception paths, and the REST API contract (GET /api/v1/projects?employeeId=&amp;status=active).</t>
  </si>
  <si>
    <t xml:space="preserve">Project/Client Association APIs completed (T-430)</t>
  </si>
  <si>
    <t xml:space="preserve">T-432</t>
  </si>
  <si>
    <t xml:space="preserve">Build Project/Client Association screen/UI component</t>
  </si>
  <si>
    <t xml:space="preserve">Build the Project/Client Association screen/UI component. UI behaviour: Type-ahead project search with client name shown alongside project code for disambiguation; projects the employee is confirmed staffed on are shown first, with all other active projects available further down the list rather than hidden entirely..</t>
  </si>
  <si>
    <t xml:space="preserve">Backend unit tests passed for Project/Client Association (T-431)</t>
  </si>
  <si>
    <t xml:space="preserve">T-433</t>
  </si>
  <si>
    <t xml:space="preserve">Integrate Project/Client Association APIs into UI and implement client-side validations</t>
  </si>
  <si>
    <t xml:space="preserve">Integrate GET /api/v1/projects?employeeId=&amp;status=active into the Project/Client Association screen; mirror the backend validations (VAL-10: project must be Active in PMS as of the expense date.; Project must appear in the employee's current resource_allocation_cache entries, or the line item is flagged 'Staffing Not Confirmed' for Finance review rather than blocked outright.) on the client, show loading states, and surface user-facing error messages for: PMS is temporarily unreachable during project selection — system serves the last-cached project list with a 'data may be up to X hours old' notice; billable marking is still permitted but flagged for Finance to re-verify project status before invoice sync.; RMS is temporarily unreachable — the picker falls back to the full PMS-scoped list (unfiltered by staffing) with the same 'not confirmed staffed' flag applied to every selection made during the outage..</t>
  </si>
  <si>
    <t xml:space="preserve">Project/Client Association UI screen completed (T-432)</t>
  </si>
  <si>
    <t xml:space="preserve">T-434</t>
  </si>
  <si>
    <t xml:space="preserve">Perform UI testing for Project/Client Association</t>
  </si>
  <si>
    <t xml:space="preserve">Perform UI testing for the Project/Client Association screen: verify it behaves per the UI behaviour spec, all client-side validations trigger correctly, and API errors/loading states display as expected.</t>
  </si>
  <si>
    <t xml:space="preserve">Project/Client Association API integration completed (T-433)</t>
  </si>
  <si>
    <t xml:space="preserve">T-435</t>
  </si>
  <si>
    <t xml:space="preserve">Code review, documentation &amp; deployment for Project/Client Association</t>
  </si>
  <si>
    <t xml:space="preserve">Peer-review the Project/Client Association implementation (entity, repository, service, APIs, UI), update technical documentation, and deploy to the QA environment.</t>
  </si>
  <si>
    <t xml:space="preserve">UI testing passed for Project/Client Association (T-434)</t>
  </si>
  <si>
    <t xml:space="preserve">T-436</t>
  </si>
  <si>
    <t xml:space="preserve">EP08-S3 - Send verified client expense to Invoice Team</t>
  </si>
  <si>
    <t xml:space="preserve">Design invoice_sync_log database table</t>
  </si>
  <si>
    <t xml:space="preserve">Design the `invoice_sync_log` database table to support Sync to Invoice Module. Columns: sync_id, line_item_id FK, status, attempt_count, last_attempt_at, ack_reference. Purpose: Transmit Finance-verified, client-billable line items to the Invoice Module for inclusion in client billing, per BR-13.</t>
  </si>
  <si>
    <t xml:space="preserve">Project/Client Association module completed (EP08-S2)</t>
  </si>
  <si>
    <t xml:space="preserve">- Only fully Verified line items are eligible for sync; partially verified reports sync only their completed 
- Upon full Finance Verification of a client-billable item, an event is published to a dedicated RabbitMQ exc
- Once Finance verification passes, a client-tagged expense automatically appears in the Invoice Team's queue
- Unit tests passed
- UI integrated successfully</t>
  </si>
  <si>
    <t xml:space="preserve">T-437</t>
  </si>
  <si>
    <t xml:space="preserve">Create InvoiceSyncLog entity mapped to invoice_sync_log table</t>
  </si>
  <si>
    <t xml:space="preserve">Create the InvoiceSyncLog entity/model class mapped 1:1 to the `invoice_sync_log` table, with fields for sync_id, line_item_id FK, status, attempt_count, last_attempt_at, ack_reference, required relationships/foreign keys, standard audit columns (created_at, updated_at), and validation annotations on mandatory fields (per: Only fully Verified line items are eligible for sync; partially verified reports sync only their completed billable items.).</t>
  </si>
  <si>
    <t xml:space="preserve">invoice_sync_log table created (T-436)</t>
  </si>
  <si>
    <t xml:space="preserve">T-438</t>
  </si>
  <si>
    <t xml:space="preserve">Create InvoiceSyncLogRepository with CRUD operations and custom queries</t>
  </si>
  <si>
    <t xml:space="preserve">Create InvoiceSyncLogRepository exposing standard CRUD operations on `invoice_sync_log`, plus custom queries needed for Sync to Invoice Module: Upon full Finance Verification of a client-billable item, an event is published to a dedicated RabbitMQ exchange consumed by the Invoice Module.; EMS report status moves to Awaiting Invoice Sync and awaits an acknowledgement event..</t>
  </si>
  <si>
    <t xml:space="preserve">InvoiceSyncLog entity completed (T-437)</t>
  </si>
  <si>
    <t xml:space="preserve">T-439</t>
  </si>
  <si>
    <t xml:space="preserve">Implement Sync to Invoice Module Service (business logic, rules &amp; validations)</t>
  </si>
  <si>
    <t xml:space="preserve">Implement the Sync to Invoice Module service layer. Business flow: Upon full Finance Verification of a client-billable item, an event is published to a dedicated RabbitMQ exchange consumed by the Invoice Module.; EMS report status moves to Awaiting Invoice Sync and awaits an acknowledgement event.; On acknowledgement, status advances; on timeout, ERR-07 handling applies (retry with backoff, then alert).. Validations to enforce: Only fully Verified line items are eligible for sync; partially verified reports sync only their completed billable items.. Exception handling: Invoice Module rejects the sync due to a data validation issue on its end (e.g., missing billing contact) — rejection reason is surfaced back to Finance for correction and re-sync, not silently dropped..</t>
  </si>
  <si>
    <t xml:space="preserve">InvoiceSyncLogRepository completed (T-438)</t>
  </si>
  <si>
    <t xml:space="preserve">T-440</t>
  </si>
  <si>
    <t xml:space="preserve">Implement Sync to Invoice Module REST APIs</t>
  </si>
  <si>
    <t xml:space="preserve">Implement the REST API(s) for Sync to Invoice Module: CRUD endpoints under /api/v1/invoice-sync-logs. Requests must enforce the validations and business rules implemented in the Sync to Invoice Module service, and return errors per: Invoice Module rejects the sync due to a data validation issue on its end (e.g., missing billing contact) — rejection reason is surfaced back to Finance for correction and re-sync, not silently dropped..</t>
  </si>
  <si>
    <t xml:space="preserve">Sync to Invoice Module service completed (T-439)</t>
  </si>
  <si>
    <t xml:space="preserve">T-441</t>
  </si>
  <si>
    <t xml:space="preserve">Write unit tests for Sync to Invoice Module service and APIs</t>
  </si>
  <si>
    <t xml:space="preserve">Write unit tests covering the Sync to Invoice Module service logic, all validations (Only fully Verified line items are eligible for sync; partially verified reports sync only their completed billable items.), exception paths, and the REST API contract (CRUD endpoints under /api/v1/invoice-sync-logs).</t>
  </si>
  <si>
    <t xml:space="preserve">Sync to Invoice Module APIs completed (T-440)</t>
  </si>
  <si>
    <t xml:space="preserve">T-442</t>
  </si>
  <si>
    <t xml:space="preserve">Build Sync to Invoice Module screen/UI component</t>
  </si>
  <si>
    <t xml:space="preserve">Build the Sync to Invoice Module screen/UI component. UI behaviour: Sync status indicator (Pending / Acknowledged / Rejected) visible to Finance on the report detail view..</t>
  </si>
  <si>
    <t xml:space="preserve">Backend unit tests passed for Sync to Invoice Module (T-441)</t>
  </si>
  <si>
    <t xml:space="preserve">T-443</t>
  </si>
  <si>
    <t xml:space="preserve">Integrate Sync to Invoice Module APIs into UI and implement client-side validations</t>
  </si>
  <si>
    <t xml:space="preserve">Integrate CRUD endpoints under /api/v1/invoice-sync-logs into the Sync to Invoice Module screen; mirror the backend validations (Only fully Verified line items are eligible for sync; partially verified reports sync only their completed billable items.) on the client, show loading states, and surface user-facing error messages for: Invoice Module rejects the sync due to a data validation issue on its end (e.g., missing billing contact) — rejection reason is surfaced back to Finance for correction and re-sync, not silently dropped..</t>
  </si>
  <si>
    <t xml:space="preserve">Sync to Invoice Module UI screen completed (T-442)</t>
  </si>
  <si>
    <t xml:space="preserve">T-444</t>
  </si>
  <si>
    <t xml:space="preserve">Perform UI testing for Sync to Invoice Module</t>
  </si>
  <si>
    <t xml:space="preserve">Perform UI testing for the Sync to Invoice Module screen: verify it behaves per the UI behaviour spec, all client-side validations trigger correctly, and API errors/loading states display as expected.</t>
  </si>
  <si>
    <t xml:space="preserve">Sync to Invoice Module API integration completed (T-443)</t>
  </si>
  <si>
    <t xml:space="preserve">T-445</t>
  </si>
  <si>
    <t xml:space="preserve">Code review, documentation &amp; deployment for Sync to Invoice Module</t>
  </si>
  <si>
    <t xml:space="preserve">Peer-review the Sync to Invoice Module implementation (entity, repository, service, APIs, UI), update technical documentation, and deploy to the QA environment.</t>
  </si>
  <si>
    <t xml:space="preserve">UI testing passed for Sync to Invoice Module (T-444)</t>
  </si>
  <si>
    <t xml:space="preserve">T-446</t>
  </si>
  <si>
    <t xml:space="preserve">EP08-S4 - Invoice Team attaches expense to client invoice</t>
  </si>
  <si>
    <t xml:space="preserve">Sprint 11</t>
  </si>
  <si>
    <t xml:space="preserve">2027-01-10</t>
  </si>
  <si>
    <t xml:space="preserve">Sync to Invoice Module module completed (EP08-S3); Related: Invoice Module Integration (EP13-S3)</t>
  </si>
  <si>
    <t xml:space="preserve">- Only fully Verified line items are eligible for sync; partially verified reports sync only their completed 
- Upon full Finance Verification of a client-billable item, an event is published to a dedicated RabbitMQ exc
- Invoice Team can attach a queued expense to the relevant client invoice via the Invoice Module (EP13-S3)
- Unit tests passed
- UI integrated successfully</t>
  </si>
  <si>
    <t xml:space="preserve">T-447</t>
  </si>
  <si>
    <t xml:space="preserve">invoice_sync_log table created (T-446)</t>
  </si>
  <si>
    <t xml:space="preserve">T-448</t>
  </si>
  <si>
    <t xml:space="preserve">InvoiceSyncLog entity completed (T-447)</t>
  </si>
  <si>
    <t xml:space="preserve">T-449</t>
  </si>
  <si>
    <t xml:space="preserve">InvoiceSyncLogRepository completed (T-448)</t>
  </si>
  <si>
    <t xml:space="preserve">T-450</t>
  </si>
  <si>
    <t xml:space="preserve">Sync to Invoice Module service completed (T-449)</t>
  </si>
  <si>
    <t xml:space="preserve">T-451</t>
  </si>
  <si>
    <t xml:space="preserve">Sync to Invoice Module APIs completed (T-450)</t>
  </si>
  <si>
    <t xml:space="preserve">T-452</t>
  </si>
  <si>
    <t xml:space="preserve">Backend unit tests passed for Sync to Invoice Module (T-451)</t>
  </si>
  <si>
    <t xml:space="preserve">T-453</t>
  </si>
  <si>
    <t xml:space="preserve">Sync to Invoice Module UI screen completed (T-452)</t>
  </si>
  <si>
    <t xml:space="preserve">T-454</t>
  </si>
  <si>
    <t xml:space="preserve">Sync to Invoice Module API integration completed (T-453)</t>
  </si>
  <si>
    <t xml:space="preserve">T-455</t>
  </si>
  <si>
    <t xml:space="preserve">UI testing passed for Sync to Invoice Module (T-454)</t>
  </si>
  <si>
    <t xml:space="preserve">T-456</t>
  </si>
  <si>
    <t xml:space="preserve">EP08-S5 - Receive Billed confirmation from Invoice Module</t>
  </si>
  <si>
    <t xml:space="preserve">Design the `expense_report` database table to support Invoice Status Feedback Loop. Columns: report_id, report_number, employee_id, title, business_purpose, cost_center_id, report_status, currency_id, total_amount, reimbursable_amount, submitted_at, approved_at, closed_at, created_at, updated_at. Purpose: Close the loop by reflecting downstream invoice lifecycle events (sent, paid, disputed) back into the EMS record, per the workflow's Invoice Sent → EMS Updated → Closed sequence.</t>
  </si>
  <si>
    <t xml:space="preserve">Sync to Invoice Module module completed (EP08-S4)</t>
  </si>
  <si>
    <t xml:space="preserve">- Incoming event must reference known, previously-synced line_item_ids; unknown references are logged as a da
- Invoice Module generates and sends the invoice; publishes invoice.sent event referencing the original line 
- When the Invoice Module reports that an invoice has actually been sent, EMS marks the linked expense Billed
- Unit tests passed
- UI integrated successfully</t>
  </si>
  <si>
    <t xml:space="preserve">T-457</t>
  </si>
  <si>
    <t xml:space="preserve">Create the ExpenseReport entity/model class mapped 1:1 to the `expense_report` table, with fields for report_id, report_number, employee_id, title, business_purpose, cost_center_id, report_status, currency_id, total_amount, reimbursable_amount, submitted_at, approved_at, closed_at, created_at, updated_at, required relationships/foreign keys, standard audit columns (created_at, updated_at), and validation annotations on mandatory fields (per: Incoming event must reference known, previously-synced line_item_ids; unknown references are logged as a data-integrity alert rather than silently applied.).</t>
  </si>
  <si>
    <t xml:space="preserve">expense_report table created (T-456)</t>
  </si>
  <si>
    <t xml:space="preserve">T-458</t>
  </si>
  <si>
    <t xml:space="preserve">Create ExpenseReportRepository exposing standard CRUD operations on `expense_report`, plus custom queries needed for Invoice Status Feedback Loop: Invoice Module generates and sends the invoice; publishes invoice.sent event referencing the original line items.; EMS updates report status to Invoice Sent, then to Closed once all internal and billable portions are fully resolved..</t>
  </si>
  <si>
    <t xml:space="preserve">ExpenseReport entity completed (T-457)</t>
  </si>
  <si>
    <t xml:space="preserve">T-459</t>
  </si>
  <si>
    <t xml:space="preserve">Implement Invoice Status Feedback Loop Service (business logic, rules &amp; validations)</t>
  </si>
  <si>
    <t xml:space="preserve">Implement the Invoice Status Feedback Loop service layer. Business flow: Invoice Module generates and sends the invoice; publishes invoice.sent event referencing the original line items.; EMS updates report status to Invoice Sent, then to Closed once all internal and billable portions are fully resolved.. Validations to enforce: Incoming event must reference known, previously-synced line_item_ids; unknown references are logged as a data-integrity alert rather than silently applied.. Exception handling: Invoice is later disputed or credited by the client — Invoice Module publishes an invoice.disputed event; EMS reopens the affected report to a 'Under Dispute' sub-status for Finance visibility, without allowing employee edits..</t>
  </si>
  <si>
    <t xml:space="preserve">ExpenseReportRepository completed (T-458)</t>
  </si>
  <si>
    <t xml:space="preserve">T-460</t>
  </si>
  <si>
    <t xml:space="preserve">Implement Invoice Status Feedback Loop REST APIs</t>
  </si>
  <si>
    <t xml:space="preserve">Implement the REST API(s) for Invoice Status Feedback Loop: CRUD endpoints under /api/v1/expense-reports. Requests must enforce the validations and business rules implemented in the Invoice Status Feedback Loop service, and return errors per: Invoice is later disputed or credited by the client — Invoice Module publishes an invoice.disputed event; EMS reopens the affected report to a 'Under Dispute' sub-status for Finance visibility, without allowing employee edits..</t>
  </si>
  <si>
    <t xml:space="preserve">Invoice Status Feedback Loop service completed (T-459)</t>
  </si>
  <si>
    <t xml:space="preserve">T-461</t>
  </si>
  <si>
    <t xml:space="preserve">Write unit tests for Invoice Status Feedback Loop service and APIs</t>
  </si>
  <si>
    <t xml:space="preserve">Write unit tests covering the Invoice Status Feedback Loop service logic, all validations (Incoming event must reference known, previously-synced line_item_ids; unknown references are logged as a data-integrity alert rather than silently applied.), exception paths, and the REST API contract (CRUD endpoints under /api/v1/expense-reports).</t>
  </si>
  <si>
    <t xml:space="preserve">Invoice Status Feedback Loop APIs completed (T-460)</t>
  </si>
  <si>
    <t xml:space="preserve">T-462</t>
  </si>
  <si>
    <t xml:space="preserve">Build Invoice Status Feedback Loop screen/UI component</t>
  </si>
  <si>
    <t xml:space="preserve">Build the Invoice Status Feedback Loop screen/UI component. UI behaviour: Read-only invoice status timeline shown on the report detail view (Sent → Paid/Disputed)..</t>
  </si>
  <si>
    <t xml:space="preserve">Backend unit tests passed for Invoice Status Feedback Loop (T-461)</t>
  </si>
  <si>
    <t xml:space="preserve">T-463</t>
  </si>
  <si>
    <t xml:space="preserve">Integrate Invoice Status Feedback Loop APIs into UI and implement client-side validations</t>
  </si>
  <si>
    <t xml:space="preserve">Integrate CRUD endpoints under /api/v1/expense-reports into the Invoice Status Feedback Loop screen; mirror the backend validations (Incoming event must reference known, previously-synced line_item_ids; unknown references are logged as a data-integrity alert rather than silently applied.) on the client, show loading states, and surface user-facing error messages for: Invoice is later disputed or credited by the client — Invoice Module publishes an invoice.disputed event; EMS reopens the affected report to a 'Under Dispute' sub-status for Finance visibility, without allowing employee edits..</t>
  </si>
  <si>
    <t xml:space="preserve">Invoice Status Feedback Loop UI screen completed (T-462)</t>
  </si>
  <si>
    <t xml:space="preserve">T-464</t>
  </si>
  <si>
    <t xml:space="preserve">Perform UI testing for Invoice Status Feedback Loop</t>
  </si>
  <si>
    <t xml:space="preserve">Perform UI testing for the Invoice Status Feedback Loop screen: verify it behaves per the UI behaviour spec, all client-side validations trigger correctly, and API errors/loading states display as expected.</t>
  </si>
  <si>
    <t xml:space="preserve">Invoice Status Feedback Loop API integration completed (T-463)</t>
  </si>
  <si>
    <t xml:space="preserve">T-465</t>
  </si>
  <si>
    <t xml:space="preserve">Code review, documentation &amp; deployment for Invoice Status Feedback Loop</t>
  </si>
  <si>
    <t xml:space="preserve">Peer-review the Invoice Status Feedback Loop implementation (entity, repository, service, APIs, UI), update technical documentation, and deploy to the QA environment.</t>
  </si>
  <si>
    <t xml:space="preserve">UI testing passed for Invoice Status Feedback Loop (T-464)</t>
  </si>
  <si>
    <t xml:space="preserve">T-466</t>
  </si>
  <si>
    <t xml:space="preserve">EP08-S6 - Prevent duplicate billing of already-billed expenses</t>
  </si>
  <si>
    <t xml:space="preserve">Invoice Status Feedback Loop module completed (EP08-S5)</t>
  </si>
  <si>
    <t xml:space="preserve">- Only fully Verified line items are eligible for sync; partially verified reports sync only their completed 
- Upon full Finance Verification of a client-billable item, an event is published to a dedicated RabbitMQ exc
- An expense already Added to Invoice or Billed cannot be sent to the Invoice Team a second time
- Unit tests passed
- UI integrated successfully</t>
  </si>
  <si>
    <t xml:space="preserve">T-467</t>
  </si>
  <si>
    <t xml:space="preserve">invoice_sync_log table created (T-466)</t>
  </si>
  <si>
    <t xml:space="preserve">T-468</t>
  </si>
  <si>
    <t xml:space="preserve">InvoiceSyncLog entity completed (T-467)</t>
  </si>
  <si>
    <t xml:space="preserve">T-469</t>
  </si>
  <si>
    <t xml:space="preserve">InvoiceSyncLogRepository completed (T-468)</t>
  </si>
  <si>
    <t xml:space="preserve">T-470</t>
  </si>
  <si>
    <t xml:space="preserve">Sync to Invoice Module service completed (T-469)</t>
  </si>
  <si>
    <t xml:space="preserve">T-471</t>
  </si>
  <si>
    <t xml:space="preserve">Sync to Invoice Module APIs completed (T-470)</t>
  </si>
  <si>
    <t xml:space="preserve">T-472</t>
  </si>
  <si>
    <t xml:space="preserve">Backend unit tests passed for Sync to Invoice Module (T-471)</t>
  </si>
  <si>
    <t xml:space="preserve">T-473</t>
  </si>
  <si>
    <t xml:space="preserve">Sync to Invoice Module UI screen completed (T-472)</t>
  </si>
  <si>
    <t xml:space="preserve">T-474</t>
  </si>
  <si>
    <t xml:space="preserve">Sync to Invoice Module API integration completed (T-473)</t>
  </si>
  <si>
    <t xml:space="preserve">T-475</t>
  </si>
  <si>
    <t xml:space="preserve">UI testing passed for Sync to Invoice Module (T-474)</t>
  </si>
  <si>
    <t xml:space="preserve">T-476</t>
  </si>
  <si>
    <t xml:space="preserve">EP13 - System Integrations</t>
  </si>
  <si>
    <t xml:space="preserve">EP13-S1 - HRMS integration — employee, department, manager sync</t>
  </si>
  <si>
    <t xml:space="preserve">Design integration_sync database table</t>
  </si>
  <si>
    <t xml:space="preserve">Design the `integration_sync` database table to support UMS Integration (JWT Validation &amp; Identity Lookup). Columns: integration_id, integration_name, reference_id, request_payload, response_payload, sync_status, retry_count, last_synced_at. Purpose: Establish and validate 'which employee' for every EMS action via UMS's authentication and identity services, without EMS replicating any employee/user data locally, per FR-1.1.</t>
  </si>
  <si>
    <t xml:space="preserve">EP01 (Expense Management System Foundation &amp; Administration); EP02 (Expense Report &amp; Line Item Management); EP03 (Receipt Management &amp; OCR Processing); EP04 (Cash Advance Management); EP08 (Client Billable Expense &amp; Invoice Integration); EP09 (Cost Center &amp; Expense Allocation Management) epic(s) completed</t>
  </si>
  <si>
    <t xml:space="preserve">- Every request's JWT is validated for signature, expiry, and issuer before any business logic executes
- Every other-party employee_id write is confirmed against UMS's validate endpoint before commit
- Covered in detail under FR-1.1; this entry addresses the integration contract specifically
- Employee identity, department, and reporting-manager relationships are synced from HRMS on a scheduled and ...
- Unit tests passed
- UI integrated successfully</t>
  </si>
  <si>
    <t xml:space="preserve">T-477</t>
  </si>
  <si>
    <t xml:space="preserve">Create IntegrationSync entity mapped to integration_sync table</t>
  </si>
  <si>
    <t xml:space="preserve">Create the IntegrationSync entity/model class mapped 1:1 to the `integration_sync` table, with fields for integration_id, integration_name, reference_id, request_payload, response_payload, sync_status, retry_count, last_synced_at, required relationships/foreign keys, standard audit columns (created_at, updated_at), and validation annotations on mandatory fields (per: Every request's JWT is validated for signature, expiry, and issuer before any business logic executes.; Every other-party employee_id write is confirmed against UMS's validate endpoint before commit.).</t>
  </si>
  <si>
    <t xml:space="preserve">integration_sync table created (T-476)</t>
  </si>
  <si>
    <t xml:space="preserve">T-478</t>
  </si>
  <si>
    <t xml:space="preserve">Create IntegrationSyncRepository with CRUD operations and custom queries</t>
  </si>
  <si>
    <t xml:space="preserve">Create IntegrationSyncRepository exposing standard CRUD operations on `integration_sync`, plus custom queries needed for UMS Integration (JWT Validation &amp; Identity Lookup): Covered in detail under FR-1.1; this entry addresses the integration contract specifically.; Contract: JWKS endpoint (JWT signature validation, cached and refreshed per standard rotation practice), POST /ums/v1/employees/batch-lookup, POST /ums/v1/employees/validate, GET /ums/v1/employees/search..</t>
  </si>
  <si>
    <t xml:space="preserve">IntegrationSync entity completed (T-477)</t>
  </si>
  <si>
    <t xml:space="preserve">T-479</t>
  </si>
  <si>
    <t xml:space="preserve">Implement UMS Integration (JWT Validation &amp; Identity Lookup) Service (business logic, rules &amp; validations)</t>
  </si>
  <si>
    <t xml:space="preserve">Implement the UMS Integration (JWT Validation &amp; Identity Lookup) service layer. Business flow: Covered in detail under FR-1.1; this entry addresses the integration contract specifically.; Contract: JWKS endpoint (JWT signature validation, cached and refreshed per standard rotation practice), POST /ums/v1/employees/batch-lookup, POST /ums/v1/employees/validate, GET /ums/v1/employees/search.. Validations to enforce: Every request's JWT is validated for signature, expiry, and issuer before any business logic executes.; Every other-party employee_id write is confirmed against UMS's validate endpoint before commit.. Exception handling: UMS's JWKS/validation endpoint is temporarily unreachable — new sign-ins and other-party identity validations are blocked with a clear service-unavailable message; already-issued, still-valid JWTs continue to be accepted using the last successfully cached signing keys until their normal expiry, so existing sessions are not abruptly terminated.; UMS lookup/search API returns a rate-limit response during a bulk operation (e.g., bulk approver reassignment) — the calling operation backs off and retries in batches rather than failing the entire operation..</t>
  </si>
  <si>
    <t xml:space="preserve">IntegrationSyncRepository completed (T-478)</t>
  </si>
  <si>
    <t xml:space="preserve">T-480</t>
  </si>
  <si>
    <t xml:space="preserve">Implement UMS Integration (JWT Validation &amp; Identity Lookup) REST APIs</t>
  </si>
  <si>
    <t xml:space="preserve">Implement the REST API(s) for UMS Integration (JWT Validation &amp; Identity Lookup): GET /ums/v1/, POST /ums/v1/employees/batch-lookup, POST /ums/v1/employees/validate, GET /ums/v1/employees/search?q=. Requests must enforce the validations and business rules implemented in the UMS Integration (JWT Validation &amp; Identity Lookup) service, and return errors per: UMS's JWKS/validation endpoint is temporarily unreachable — new sign-ins and other-party identity validations are blocked with a clear service-unavailable message; already-issued, still-valid JWTs continue to be accepted using the last successfully cached signing keys until their normal expiry, so existing sessions are not abruptly terminated..</t>
  </si>
  <si>
    <t xml:space="preserve">UMS Integration (JWT Validation &amp; Identity Lookup) service completed (T-479)</t>
  </si>
  <si>
    <t xml:space="preserve">T-481</t>
  </si>
  <si>
    <t xml:space="preserve">Write unit tests for UMS Integration (JWT Validation &amp; Identity Lookup) service and APIs</t>
  </si>
  <si>
    <t xml:space="preserve">Write unit tests covering the UMS Integration (JWT Validation &amp; Identity Lookup) service logic, all validations (Every request's JWT is validated for signature, expiry, and issuer before any business logic executes.; Every other-party employee_id write is confirmed against UMS's validate endpoint before commit.), exception paths, and the REST API contract (GET /ums/v1/, POST /ums/v1/employees/batch-lookup, POST /ums/v1/employees/validate, GET /ums/v1/employees/search?q=).</t>
  </si>
  <si>
    <t xml:space="preserve">UMS Integration (JWT Validation &amp; Identity Lookup) APIs completed (T-480)</t>
  </si>
  <si>
    <t xml:space="preserve">T-482</t>
  </si>
  <si>
    <t xml:space="preserve">Build UMS Integration (JWT Validation &amp; Identity Lookup) screen/UI component</t>
  </si>
  <si>
    <t xml:space="preserve">Build the UMS Integration (JWT Validation &amp; Identity Lookup) screen/UI component. UI behaviour: Integration health dashboard entry showing UMS API latency/error rate, distinct from a 'last sync timestamp' (there is no sync job for employee data in this design)..</t>
  </si>
  <si>
    <t xml:space="preserve">Backend unit tests passed for UMS Integration (JWT Validation &amp; Identity Lookup) (T-481)</t>
  </si>
  <si>
    <t xml:space="preserve">T-483</t>
  </si>
  <si>
    <t xml:space="preserve">Integrate UMS Integration (JWT Validation &amp; Identity Lookup) APIs into UI and implement client-side validations</t>
  </si>
  <si>
    <t xml:space="preserve">Integrate GET /ums/v1/, POST /ums/v1/employees/batch-lookup, POST /ums/v1/employees/validate, GET /ums/v1/employees/search?q= into the UMS Integration (JWT Validation &amp; Identity Lookup) screen; mirror the backend validations (Every request's JWT is validated for signature, expiry, and issuer before any business logic executes.; Every other-party employee_id write is confirmed against UMS's validate endpoint before commit.) on the client, show loading states, and surface user-facing error messages for: UMS's JWKS/validation endpoint is temporarily unreachable — new sign-ins and other-party identity validations are blocked with a clear service-unavailable message; already-issued, still-valid JWTs continue to be accepted using the last successfully cached signing keys until their normal expiry, so existing sessions are not abruptly terminated.; UMS lookup/search API returns a rate-limit response during a bulk operation (e.g., bulk approver reassignment) — the calling operation backs off and retries in batches rather than failing the entire operation..</t>
  </si>
  <si>
    <t xml:space="preserve">UMS Integration (JWT Validation &amp; Identity Lookup) UI screen completed (T-482)</t>
  </si>
  <si>
    <t xml:space="preserve">T-484</t>
  </si>
  <si>
    <t xml:space="preserve">Perform UI testing for UMS Integration (JWT Validation &amp; Identity Lookup)</t>
  </si>
  <si>
    <t xml:space="preserve">Perform UI testing for the UMS Integration (JWT Validation &amp; Identity Lookup) screen: verify it behaves per the UI behaviour spec, all client-side validations trigger correctly, and API errors/loading states display as expected.</t>
  </si>
  <si>
    <t xml:space="preserve">UMS Integration (JWT Validation &amp; Identity Lookup) API integration completed (T-483)</t>
  </si>
  <si>
    <t xml:space="preserve">T-485</t>
  </si>
  <si>
    <t xml:space="preserve">Code review, documentation &amp; deployment for UMS Integration (JWT Validation &amp; Identity Lookup)</t>
  </si>
  <si>
    <t xml:space="preserve">Peer-review the UMS Integration (JWT Validation &amp; Identity Lookup) implementation (entity, repository, service, APIs, UI), update technical documentation, and deploy to the QA environment.</t>
  </si>
  <si>
    <t xml:space="preserve">UI testing passed for UMS Integration (JWT Validation &amp; Identity Lookup) (T-484)</t>
  </si>
  <si>
    <t xml:space="preserve">T-486</t>
  </si>
  <si>
    <t xml:space="preserve">EP13-S2 - Project Management System integration — valid clients/projects</t>
  </si>
  <si>
    <t xml:space="preserve">Design project_cache database table</t>
  </si>
  <si>
    <t xml:space="preserve">Design the `project_cache` database table to support Project Management System Integration. Columns: project_id, project_code, project_name, client_name, status, synced_at. Purpose: Provide EMS with current, authoritative project and client reference data for billable expense tagging, per FR-8.2.</t>
  </si>
  <si>
    <t xml:space="preserve">Sprint 12</t>
  </si>
  <si>
    <t xml:space="preserve">2027-01-24</t>
  </si>
  <si>
    <t xml:space="preserve">UMS Integration (JWT Validation &amp; Identity Lookup) module completed (EP13-S1)</t>
  </si>
  <si>
    <t xml:space="preserve">- Refresh job validates response schema before applying updates to the local cache; malformed responses are r
- Covered in detail under FR-8.2; this entry addresses the integration contract specifically
- The list of valid clients and active projects available for tagging is sourced from the Project Management ...
- Unit tests passed
- UI integrated successfully</t>
  </si>
  <si>
    <t xml:space="preserve">T-487</t>
  </si>
  <si>
    <t xml:space="preserve">Create ProjectCache entity mapped to project_cache table</t>
  </si>
  <si>
    <t xml:space="preserve">Create the ProjectCache entity/model class mapped 1:1 to the `project_cache` table, with fields for project_id, project_code, project_name, client_name, status, synced_at, required relationships/foreign keys, standard audit columns (created_at, updated_at), and validation annotations on mandatory fields (per: Refresh job validates response schema before applying updates to the local cache; malformed responses are rejected and retried, not partially applied.).</t>
  </si>
  <si>
    <t xml:space="preserve">project_cache table created (T-486)</t>
  </si>
  <si>
    <t xml:space="preserve">T-488</t>
  </si>
  <si>
    <t xml:space="preserve">Create ProjectCacheRepository with CRUD operations and custom queries</t>
  </si>
  <si>
    <t xml:space="preserve">Create ProjectCacheRepository exposing standard CRUD operations on `project_cache`, plus custom queries needed for Project Management System Integration: Covered in detail under FR-8.2; this entry addresses the integration contract specifically.; Scheduled refresh job (e.g., hourly) pulls active project deltas via a versioned REST endpoint..</t>
  </si>
  <si>
    <t xml:space="preserve">ProjectCache entity completed (T-487)</t>
  </si>
  <si>
    <t xml:space="preserve">T-489</t>
  </si>
  <si>
    <t xml:space="preserve">Implement Project Management System Integration Service (business logic, rules &amp; validations)</t>
  </si>
  <si>
    <t xml:space="preserve">Implement the Project Management System Integration service layer. Business flow: Covered in detail under FR-8.2; this entry addresses the integration contract specifically.; Scheduled refresh job (e.g., hourly) pulls active project deltas via a versioned REST endpoint.. Validations to enforce: Refresh job validates response schema before applying updates to the local cache; malformed responses are rejected and retried, not partially applied.. Exception handling: PMS API returns a rate-limit response — refresh job backs off exponentially and resumes on the next scheduled window rather than hammering the endpoint..</t>
  </si>
  <si>
    <t xml:space="preserve">ProjectCacheRepository completed (T-488)</t>
  </si>
  <si>
    <t xml:space="preserve">T-490</t>
  </si>
  <si>
    <t xml:space="preserve">Implement Project Management System Integration REST APIs</t>
  </si>
  <si>
    <t xml:space="preserve">Implement the REST API(s) for Project Management System Integration: GET (to. Requests must enforce the validations and business rules implemented in the Project Management System Integration service, and return errors per: PMS API returns a rate-limit response — refresh job backs off exponentially and resumes on the next scheduled window rather than hammering the endpoint..</t>
  </si>
  <si>
    <t xml:space="preserve">Project Management System Integration service completed (T-489)</t>
  </si>
  <si>
    <t xml:space="preserve">T-491</t>
  </si>
  <si>
    <t xml:space="preserve">Write unit tests for Project Management System Integration service and APIs</t>
  </si>
  <si>
    <t xml:space="preserve">Write unit tests covering the Project Management System Integration service logic, all validations (Refresh job validates response schema before applying updates to the local cache; malformed responses are rejected and retried, not partially applied.), exception paths, and the REST API contract (GET (to).</t>
  </si>
  <si>
    <t xml:space="preserve">Project Management System Integration APIs completed (T-490)</t>
  </si>
  <si>
    <t xml:space="preserve">T-492</t>
  </si>
  <si>
    <t xml:space="preserve">Build Project Management System Integration screen/UI component</t>
  </si>
  <si>
    <t xml:space="preserve">Build the Project Management System Integration screen/UI component. UI behaviour: Same integration health dashboard entry as FR-13.1, per-integration row..</t>
  </si>
  <si>
    <t xml:space="preserve">Backend unit tests passed for Project Management System Integration (T-491)</t>
  </si>
  <si>
    <t xml:space="preserve">T-493</t>
  </si>
  <si>
    <t xml:space="preserve">Integrate Project Management System Integration APIs into UI and implement client-side validations</t>
  </si>
  <si>
    <t xml:space="preserve">Integrate GET (to into the Project Management System Integration screen; mirror the backend validations (Refresh job validates response schema before applying updates to the local cache; malformed responses are rejected and retried, not partially applied.) on the client, show loading states, and surface user-facing error messages for: PMS API returns a rate-limit response — refresh job backs off exponentially and resumes on the next scheduled window rather than hammering the endpoint..</t>
  </si>
  <si>
    <t xml:space="preserve">Project Management System Integration UI screen completed (T-492)</t>
  </si>
  <si>
    <t xml:space="preserve">T-494</t>
  </si>
  <si>
    <t xml:space="preserve">Perform UI testing for Project Management System Integration</t>
  </si>
  <si>
    <t xml:space="preserve">Perform UI testing for the Project Management System Integration screen: verify it behaves per the UI behaviour spec, all client-side validations trigger correctly, and API errors/loading states display as expected.</t>
  </si>
  <si>
    <t xml:space="preserve">Project Management System Integration API integration completed (T-493)</t>
  </si>
  <si>
    <t xml:space="preserve">T-495</t>
  </si>
  <si>
    <t xml:space="preserve">Code review, documentation &amp; deployment for Project Management System Integration</t>
  </si>
  <si>
    <t xml:space="preserve">Peer-review the Project Management System Integration implementation (entity, repository, service, APIs, UI), update technical documentation, and deploy to the QA environment.</t>
  </si>
  <si>
    <t xml:space="preserve">UI testing passed for Project Management System Integration (T-494)</t>
  </si>
  <si>
    <t xml:space="preserve">T-496</t>
  </si>
  <si>
    <t xml:space="preserve">EP13-S3 - Invoice Module integration — send expense, receive Billed status</t>
  </si>
  <si>
    <t xml:space="preserve">Design invoice_sync database table</t>
  </si>
  <si>
    <t xml:space="preserve">Design the `invoice_sync` database table to support Invoice Module Integration. Columns: sync_id, line_item_id, invoice_reference, sync_status, sync_date, retry_count, remarks. Purpose: Enable the client-billable expense-to-invoice pipeline described in FR-8.3/FR-8.4.</t>
  </si>
  <si>
    <t xml:space="preserve">Project Management System Integration module completed (EP13-S2)</t>
  </si>
  <si>
    <t xml:space="preserve">- Outbound events include a stable line_item_id enabling idempotent processing on the Invoice Module side eve
- Covered in detail under FR-8.3 and FR-8.4; this entry addresses the integration contract specifically
- Verified client expenses are sent to the Invoice Module and the Billed confirmation is received back into EMS
- Unit tests passed
- UI integrated successfully</t>
  </si>
  <si>
    <t xml:space="preserve">T-497</t>
  </si>
  <si>
    <t xml:space="preserve">Create InvoiceSync entity mapped to invoice_sync table</t>
  </si>
  <si>
    <t xml:space="preserve">Create the InvoiceSync entity/model class mapped 1:1 to the `invoice_sync` table, with fields for sync_id, line_item_id, invoice_reference, sync_status, sync_date, retry_count, remarks, required relationships/foreign keys, standard audit columns (created_at, updated_at), and validation annotations on mandatory fields (per: Outbound events include a stable line_item_id enabling idempotent processing on the Invoice Module side even if a message is redelivered (NFR-09).).</t>
  </si>
  <si>
    <t xml:space="preserve">invoice_sync table created (T-496)</t>
  </si>
  <si>
    <t xml:space="preserve">T-498</t>
  </si>
  <si>
    <t xml:space="preserve">Create InvoiceSyncRepository with CRUD operations and custom queries</t>
  </si>
  <si>
    <t xml:space="preserve">Create InvoiceSyncRepository exposing standard CRUD operations on `invoice_sync`, plus custom queries needed for Invoice Module Integration: Covered in detail under FR-8.3 and FR-8.4; this entry addresses the integration contract specifically.; Contract: expense.billable.verified (outbound), invoice.sync.ack/reject, invoice.sent, invoice.paid, invoice.disputed (inbound)..</t>
  </si>
  <si>
    <t xml:space="preserve">InvoiceSync entity completed (T-497)</t>
  </si>
  <si>
    <t xml:space="preserve">T-499</t>
  </si>
  <si>
    <t xml:space="preserve">Implement Invoice Module Integration Service (business logic, rules &amp; validations)</t>
  </si>
  <si>
    <t xml:space="preserve">Implement the Invoice Module Integration service layer. Business flow: Covered in detail under FR-8.3 and FR-8.4; this entry addresses the integration contract specifically.; Contract: expense.billable.verified (outbound), invoice.sync.ack/reject, invoice.sent, invoice.paid, invoice.disputed (inbound).. Validations to enforce: Outbound events include a stable line_item_id enabling idempotent processing on the Invoice Module side even if a message is redelivered (NFR-09).. Exception handling: Duplicate inbound acknowledgement for an already-processed line item — EMS consumer is idempotent and simply no-ops rather than erroring, since at-least-once delivery guarantees mean duplicates are expected..</t>
  </si>
  <si>
    <t xml:space="preserve">InvoiceSyncRepository completed (T-498)</t>
  </si>
  <si>
    <t xml:space="preserve">T-500</t>
  </si>
  <si>
    <t xml:space="preserve">Implement Invoice Module Integration REST APIs</t>
  </si>
  <si>
    <t xml:space="preserve">Implement the REST API(s) for Invoice Module Integration: CRUD endpoints under /api/v1/invoice-syncs. Requests must enforce the validations and business rules implemented in the Invoice Module Integration service, and return errors per: Duplicate inbound acknowledgement for an already-processed line item — EMS consumer is idempotent and simply no-ops rather than erroring, since at-least-once delivery guarantees mean duplicates are expected..</t>
  </si>
  <si>
    <t xml:space="preserve">Invoice Module Integration service completed (T-499)</t>
  </si>
  <si>
    <t xml:space="preserve">T-501</t>
  </si>
  <si>
    <t xml:space="preserve">Write unit tests for Invoice Module Integration service and APIs</t>
  </si>
  <si>
    <t xml:space="preserve">Write unit tests covering the Invoice Module Integration service logic, all validations (Outbound events include a stable line_item_id enabling idempotent processing on the Invoice Module side even if a message is redelivered (NFR-09).), exception paths, and the REST API contract (CRUD endpoints under /api/v1/invoice-syncs).</t>
  </si>
  <si>
    <t xml:space="preserve">Invoice Module Integration APIs completed (T-500)</t>
  </si>
  <si>
    <t xml:space="preserve">T-502</t>
  </si>
  <si>
    <t xml:space="preserve">Build Invoice Module Integration screen/UI component</t>
  </si>
  <si>
    <t xml:space="preserve">Build the Invoice Module Integration screen/UI component. UI behaviour: Same integration health dashboard entry; additionally, per-report sync status shown as covered in FR-8.3..</t>
  </si>
  <si>
    <t xml:space="preserve">Backend unit tests passed for Invoice Module Integration (T-501)</t>
  </si>
  <si>
    <t xml:space="preserve">T-503</t>
  </si>
  <si>
    <t xml:space="preserve">Integrate Invoice Module Integration APIs into UI and implement client-side validations</t>
  </si>
  <si>
    <t xml:space="preserve">Integrate CRUD endpoints under /api/v1/invoice-syncs into the Invoice Module Integration screen; mirror the backend validations (Outbound events include a stable line_item_id enabling idempotent processing on the Invoice Module side even if a message is redelivered (NFR-09).) on the client, show loading states, and surface user-facing error messages for: Duplicate inbound acknowledgement for an already-processed line item — EMS consumer is idempotent and simply no-ops rather than erroring, since at-least-once delivery guarantees mean duplicates are expected..</t>
  </si>
  <si>
    <t xml:space="preserve">Invoice Module Integration UI screen completed (T-502)</t>
  </si>
  <si>
    <t xml:space="preserve">T-504</t>
  </si>
  <si>
    <t xml:space="preserve">Perform UI testing for Invoice Module Integration</t>
  </si>
  <si>
    <t xml:space="preserve">Perform UI testing for the Invoice Module Integration screen: verify it behaves per the UI behaviour spec, all client-side validations trigger correctly, and API errors/loading states display as expected.</t>
  </si>
  <si>
    <t xml:space="preserve">Invoice Module Integration API integration completed (T-503)</t>
  </si>
  <si>
    <t xml:space="preserve">T-505</t>
  </si>
  <si>
    <t xml:space="preserve">Code review, documentation &amp; deployment for Invoice Module Integration</t>
  </si>
  <si>
    <t xml:space="preserve">Peer-review the Invoice Module Integration implementation (entity, repository, service, APIs, UI), update technical documentation, and deploy to the QA environment.</t>
  </si>
  <si>
    <t xml:space="preserve">UI testing passed for Invoice Module Integration (T-504)</t>
  </si>
  <si>
    <t xml:space="preserve">T-506</t>
  </si>
  <si>
    <t xml:space="preserve">EP13-S4 - Document Management System integration — receipt storage</t>
  </si>
  <si>
    <t xml:space="preserve">Invoice Module Integration module completed (EP13-S3)</t>
  </si>
  <si>
    <t xml:space="preserve">- VAL-05 (file type/size)
- One line item may have multiple receipts (e.g., itemized bill + card slip); a receipt may be linked to only
- Employee selects/captures a file and associates it with a line item (or uploads unattached for later matchi
- Receipts and supporting attachments are stored in and retrieved from the Document Management System rather ...
- Unit tests passed
- UI integrated successfully</t>
  </si>
  <si>
    <t xml:space="preserve">T-507</t>
  </si>
  <si>
    <t xml:space="preserve">receipt table created (T-506)</t>
  </si>
  <si>
    <t xml:space="preserve">T-508</t>
  </si>
  <si>
    <t xml:space="preserve">Receipt entity completed (T-507)</t>
  </si>
  <si>
    <t xml:space="preserve">T-509</t>
  </si>
  <si>
    <t xml:space="preserve">ReceiptRepository completed (T-508)</t>
  </si>
  <si>
    <t xml:space="preserve">T-510</t>
  </si>
  <si>
    <t xml:space="preserve">Upload Receipt (Image/PDF) service completed (T-509)</t>
  </si>
  <si>
    <t xml:space="preserve">T-511</t>
  </si>
  <si>
    <t xml:space="preserve">Upload Receipt (Image/PDF) APIs completed (T-510)</t>
  </si>
  <si>
    <t xml:space="preserve">T-512</t>
  </si>
  <si>
    <t xml:space="preserve">Backend unit tests passed for Upload Receipt (Image/PDF) (T-511)</t>
  </si>
  <si>
    <t xml:space="preserve">T-513</t>
  </si>
  <si>
    <t xml:space="preserve">Upload Receipt (Image/PDF) UI screen completed (T-512)</t>
  </si>
  <si>
    <t xml:space="preserve">T-514</t>
  </si>
  <si>
    <t xml:space="preserve">Upload Receipt (Image/PDF) API integration completed (T-513)</t>
  </si>
  <si>
    <t xml:space="preserve">T-515</t>
  </si>
  <si>
    <t xml:space="preserve">UI testing passed for Upload Receipt (Image/PDF) (T-514)</t>
  </si>
  <si>
    <t xml:space="preserve">T-516</t>
  </si>
  <si>
    <t xml:space="preserve">EP13-S5 - Notification Service integration</t>
  </si>
  <si>
    <t xml:space="preserve">Design notification database table</t>
  </si>
  <si>
    <t xml:space="preserve">Design the `notification` database table to support Notification Service Integration. Columns: notification_id, employee_id, notification_type, title, message, is_read, sent_at. Purpose: Delegate all outbound communication to the shared enterprise Notification Service rather than building channel-specific delivery logic within EMS.</t>
  </si>
  <si>
    <t xml:space="preserve">Upload Receipt (Image/PDF) module completed (EP13-S4)</t>
  </si>
  <si>
    <t xml:space="preserve">- Every event published includes a mandatory correlation_id enabling end-to-end tracing from EMS action to ev
- Covered in detail under FR-11.1/FR-11.2; this entry addresses the integration contract specifically
- All EMS notification events are delivered through the shared Notification Service rather than a bespoke mailer
- Unit tests passed
- UI integrated successfully</t>
  </si>
  <si>
    <t xml:space="preserve">T-517</t>
  </si>
  <si>
    <t xml:space="preserve">Create Notification entity mapped to notification table</t>
  </si>
  <si>
    <t xml:space="preserve">Create the Notification entity/model class mapped 1:1 to the `notification` table, with fields for notification_id, employee_id, notification_type, title, message, is_read, sent_at, required relationships/foreign keys, standard audit columns (created_at, updated_at), and validation annotations on mandatory fields (per: Every event published includes a mandatory correlation_id enabling end-to-end tracing from EMS action to eventual notification delivery.).</t>
  </si>
  <si>
    <t xml:space="preserve">notification table created (T-516)</t>
  </si>
  <si>
    <t xml:space="preserve">T-518</t>
  </si>
  <si>
    <t xml:space="preserve">Create NotificationRepository with CRUD operations and custom queries</t>
  </si>
  <si>
    <t xml:space="preserve">Create NotificationRepository exposing standard CRUD operations on `notification`, plus custom queries needed for Notification Service Integration: Covered in detail under FR-11.1/FR-11.2; this entry addresses the integration contract specifically..</t>
  </si>
  <si>
    <t xml:space="preserve">Notification entity completed (T-517)</t>
  </si>
  <si>
    <t xml:space="preserve">T-519</t>
  </si>
  <si>
    <t xml:space="preserve">Implement Notification Service Integration Service (business logic, rules &amp; validations)</t>
  </si>
  <si>
    <t xml:space="preserve">Implement the Notification Service Integration service layer. Business flow: Covered in detail under FR-11.1/FR-11.2; this entry addresses the integration contract specifically.. Validations to enforce: Every event published includes a mandatory correlation_id enabling end-to-end tracing from EMS action to eventual notification delivery.. Exception handling: Notification Service publishes a delivery-failure event — EMS logs it for support visibility but does not retry the business action itself (the underlying expense/approval action already succeeded; only the notification failed)..</t>
  </si>
  <si>
    <t xml:space="preserve">NotificationRepository completed (T-518)</t>
  </si>
  <si>
    <t xml:space="preserve">T-520</t>
  </si>
  <si>
    <t xml:space="preserve">Implement Notification Service Integration REST APIs</t>
  </si>
  <si>
    <t xml:space="preserve">Implement the REST API(s) for Notification Service Integration: CRUD endpoints under /api/v1/notifications. Requests must enforce the validations and business rules implemented in the Notification Service Integration service, and return errors per: Notification Service publishes a delivery-failure event — EMS logs it for support visibility but does not retry the business action itself (the underlying expense/approval action already succeeded; only the notification failed)..</t>
  </si>
  <si>
    <t xml:space="preserve">Notification Service Integration service completed (T-519)</t>
  </si>
  <si>
    <t xml:space="preserve">T-521</t>
  </si>
  <si>
    <t xml:space="preserve">Write unit tests for Notification Service Integration service and APIs</t>
  </si>
  <si>
    <t xml:space="preserve">Write unit tests covering the Notification Service Integration service logic, all validations (Every event published includes a mandatory correlation_id enabling end-to-end tracing from EMS action to eventual notification delivery.), exception paths, and the REST API contract (CRUD endpoints under /api/v1/notifications).</t>
  </si>
  <si>
    <t xml:space="preserve">Notification Service Integration APIs completed (T-520)</t>
  </si>
  <si>
    <t xml:space="preserve">T-522</t>
  </si>
  <si>
    <t xml:space="preserve">Build Notification Service Integration screen/UI component</t>
  </si>
  <si>
    <t xml:space="preserve">Build the Notification Service Integration screen/UI component. UI behaviour: Same integration health dashboard entry..</t>
  </si>
  <si>
    <t xml:space="preserve">Backend unit tests passed for Notification Service Integration (T-521)</t>
  </si>
  <si>
    <t xml:space="preserve">T-523</t>
  </si>
  <si>
    <t xml:space="preserve">Integrate Notification Service Integration APIs into UI and implement client-side validations</t>
  </si>
  <si>
    <t xml:space="preserve">Integrate CRUD endpoints under /api/v1/notifications into the Notification Service Integration screen; mirror the backend validations (Every event published includes a mandatory correlation_id enabling end-to-end tracing from EMS action to eventual notification delivery.) on the client, show loading states, and surface user-facing error messages for: Notification Service publishes a delivery-failure event — EMS logs it for support visibility but does not retry the business action itself (the underlying expense/approval action already succeeded; only the notification failed)..</t>
  </si>
  <si>
    <t xml:space="preserve">Notification Service Integration UI screen completed (T-522)</t>
  </si>
  <si>
    <t xml:space="preserve">T-524</t>
  </si>
  <si>
    <t xml:space="preserve">Perform UI testing for Notification Service Integration</t>
  </si>
  <si>
    <t xml:space="preserve">Perform UI testing for the Notification Service Integration screen: verify it behaves per the UI behaviour spec, all client-side validations trigger correctly, and API errors/loading states display as expected.</t>
  </si>
  <si>
    <t xml:space="preserve">Notification Service Integration API integration completed (T-523)</t>
  </si>
  <si>
    <t xml:space="preserve">T-525</t>
  </si>
  <si>
    <t xml:space="preserve">Code review, documentation &amp; deployment for Notification Service Integration</t>
  </si>
  <si>
    <t xml:space="preserve">Peer-review the Notification Service Integration implementation (entity, repository, service, APIs, UI), update technical documentation, and deploy to the QA environment.</t>
  </si>
  <si>
    <t xml:space="preserve">UI testing passed for Notification Service Integration (T-524)</t>
  </si>
  <si>
    <t xml:space="preserve">T-526</t>
  </si>
  <si>
    <t xml:space="preserve">EP13-S6 - Exchange Rate Service integration</t>
  </si>
  <si>
    <t xml:space="preserve">Design the `exchange_rate` database table to support Exchange Rate Service Integration. Columns: exchange_rate_id, from_currency_id, to_currency_id, exchange_rate, effective_date, source, created_at. Purpose: Supply current, dated exchange rates for multi-currency normalization, per FR-1.4/FR-2.5/BR-05.</t>
  </si>
  <si>
    <t xml:space="preserve">Notification Service Integration module completed (EP13-S5)</t>
  </si>
  <si>
    <t xml:space="preserve">- Response schema validated (currency codes ISO-4217 compliant, rate values numeric and positive) before pers
- Covered in detail under FR-1.4; this entry addresses the integration contract specifically
- Transaction-date exchange rates used across EP02 and EP08 are sourced from the Exchange Rate Service
- Unit tests passed
- UI integrated successfully</t>
  </si>
  <si>
    <t xml:space="preserve">T-527</t>
  </si>
  <si>
    <t xml:space="preserve">Create the ExchangeRate entity/model class mapped 1:1 to the `exchange_rate` table, with fields for exchange_rate_id, from_currency_id, to_currency_id, exchange_rate, effective_date, source, created_at, required relationships/foreign keys, standard audit columns (created_at, updated_at), and validation annotations on mandatory fields (per: Response schema validated (currency codes ISO-4217 compliant, rate values numeric and positive) before persisting.).</t>
  </si>
  <si>
    <t xml:space="preserve">exchange_rate table created (T-526)</t>
  </si>
  <si>
    <t xml:space="preserve">T-528</t>
  </si>
  <si>
    <t xml:space="preserve">Create ExchangeRateRepository exposing standard CRUD operations on `exchange_rate`, plus custom queries needed for Exchange Rate Service Integration: Covered in detail under FR-1.4; this entry addresses the integration contract specifically..</t>
  </si>
  <si>
    <t xml:space="preserve">ExchangeRate entity completed (T-527)</t>
  </si>
  <si>
    <t xml:space="preserve">T-529</t>
  </si>
  <si>
    <t xml:space="preserve">Implement Exchange Rate Service Integration Service (business logic, rules &amp; validations)</t>
  </si>
  <si>
    <t xml:space="preserve">Implement the Exchange Rate Service Integration service layer. Business flow: Covered in detail under FR-1.4; this entry addresses the integration contract specifically.. Validations to enforce: Response schema validated (currency codes ISO-4217 compliant, rate values numeric and positive) before persisting.. Exception handling: Upstream service permanently discontinues a previously supported currency pair — Administrator alerted to manually source rates or disable the affected currency going forward, since automated substitution of financial rate data is not an acceptable silent fallback..</t>
  </si>
  <si>
    <t xml:space="preserve">ExchangeRateRepository completed (T-528)</t>
  </si>
  <si>
    <t xml:space="preserve">T-530</t>
  </si>
  <si>
    <t xml:space="preserve">Implement Exchange Rate Service Integration REST APIs</t>
  </si>
  <si>
    <t xml:space="preserve">Implement the REST API(s) for Exchange Rate Service Integration: GET (to. Requests must enforce the validations and business rules implemented in the Exchange Rate Service Integration service, and return errors per: Upstream service permanently discontinues a previously supported currency pair — Administrator alerted to manually source rates or disable the affected currency going forward, since automated substitution of financial rate data is not an acceptable silent fallback..</t>
  </si>
  <si>
    <t xml:space="preserve">Exchange Rate Service Integration service completed (T-529)</t>
  </si>
  <si>
    <t xml:space="preserve">T-531</t>
  </si>
  <si>
    <t xml:space="preserve">Write unit tests for Exchange Rate Service Integration service and APIs</t>
  </si>
  <si>
    <t xml:space="preserve">Write unit tests covering the Exchange Rate Service Integration service logic, all validations (Response schema validated (currency codes ISO-4217 compliant, rate values numeric and positive) before persisting.), exception paths, and the REST API contract (GET (to).</t>
  </si>
  <si>
    <t xml:space="preserve">Exchange Rate Service Integration APIs completed (T-530)</t>
  </si>
  <si>
    <t xml:space="preserve">T-532</t>
  </si>
  <si>
    <t xml:space="preserve">Build Exchange Rate Service Integration screen/UI component</t>
  </si>
  <si>
    <t xml:space="preserve">Build the Exchange Rate Service Integration screen/UI component. UI behaviour: Same integration health dashboard entry..</t>
  </si>
  <si>
    <t xml:space="preserve">Backend unit tests passed for Exchange Rate Service Integration (T-531)</t>
  </si>
  <si>
    <t xml:space="preserve">T-533</t>
  </si>
  <si>
    <t xml:space="preserve">Integrate Exchange Rate Service Integration APIs into UI and implement client-side validations</t>
  </si>
  <si>
    <t xml:space="preserve">Integrate GET (to into the Exchange Rate Service Integration screen; mirror the backend validations (Response schema validated (currency codes ISO-4217 compliant, rate values numeric and positive) before persisting.) on the client, show loading states, and surface user-facing error messages for: Upstream service permanently discontinues a previously supported currency pair — Administrator alerted to manually source rates or disable the affected currency going forward, since automated substitution of financial rate data is not an acceptable silent fallback..</t>
  </si>
  <si>
    <t xml:space="preserve">Exchange Rate Service Integration UI screen completed (T-532)</t>
  </si>
  <si>
    <t xml:space="preserve">T-534</t>
  </si>
  <si>
    <t xml:space="preserve">Perform UI testing for Exchange Rate Service Integration</t>
  </si>
  <si>
    <t xml:space="preserve">Perform UI testing for the Exchange Rate Service Integration screen: verify it behaves per the UI behaviour spec, all client-side validations trigger correctly, and API errors/loading states display as expected.</t>
  </si>
  <si>
    <t xml:space="preserve">Exchange Rate Service Integration API integration completed (T-533)</t>
  </si>
  <si>
    <t xml:space="preserve">T-535</t>
  </si>
  <si>
    <t xml:space="preserve">Code review, documentation &amp; deployment for Exchange Rate Service Integration</t>
  </si>
  <si>
    <t xml:space="preserve">Peer-review the Exchange Rate Service Integration implementation (entity, repository, service, APIs, UI), update technical documentation, and deploy to the QA environment.</t>
  </si>
  <si>
    <t xml:space="preserve">UI testing passed for Exchange Rate Service Integration (T-534)</t>
  </si>
  <si>
    <t xml:space="preserve">T-536</t>
  </si>
  <si>
    <t xml:space="preserve">EP11 - Notifications, Audit Logs &amp; Activity Tracking</t>
  </si>
  <si>
    <t xml:space="preserve">EP11-S1 - Event-based notifications for the approval lifecycle</t>
  </si>
  <si>
    <t xml:space="preserve">Design notification_event_log database table</t>
  </si>
  <si>
    <t xml:space="preserve">Design the `notification_event_log` database table to support Event-Based Notification Triggers. Columns: event_id, event_type, payload_ref, dispatched_at, status. Purpose: Ensure all relevant actors are informed of state changes affecting them without requiring manual polling of the system.</t>
  </si>
  <si>
    <t xml:space="preserve">EP06 (Expense Approval Workflow Management); EP07 (Finance Verification &amp; Reimbursement Management) epic(s) completed</t>
  </si>
  <si>
    <t xml:space="preserve">- Every new event type introduced by a domain module must be registered in the notification catalog before go
- Domain modules publish domain events (e.g., expense.submitted) to RabbitMQ
- Submitted, Out-of-Policy Flagged, Changes Requested, and Approved/Rejected events each trigger a notificati...
- Unit tests passed
- UI integrated successfully</t>
  </si>
  <si>
    <t xml:space="preserve">T-537</t>
  </si>
  <si>
    <t xml:space="preserve">Create NotificationEventLog entity mapped to notification_event_log table</t>
  </si>
  <si>
    <t xml:space="preserve">Create the NotificationEventLog entity/model class mapped 1:1 to the `notification_event_log` table, with fields for event_id, event_type, payload_ref, dispatched_at, status, required relationships/foreign keys, standard audit columns (created_at, updated_at), and validation annotations on mandatory fields (per: Every new event type introduced by a domain module must be registered in the notification catalog before go-live; unregistered events are logged as a configuration gap rather than silently dropped.).</t>
  </si>
  <si>
    <t xml:space="preserve">notification_event_log table created (T-536)</t>
  </si>
  <si>
    <t xml:space="preserve">T-538</t>
  </si>
  <si>
    <t xml:space="preserve">Create NotificationEventLogRepository with CRUD operations and custom queries</t>
  </si>
  <si>
    <t xml:space="preserve">Create NotificationEventLogRepository exposing standard CRUD operations on `notification_event_log`, plus custom queries needed for Event-Based Notification Triggers: Domain modules publish domain events (e.g., expense.submitted) to RabbitMQ.; Notification Service consumes events, resolves the recipient(s) and applicable template, and dispatches per FR-11.2..</t>
  </si>
  <si>
    <t xml:space="preserve">NotificationEventLog entity completed (T-537)</t>
  </si>
  <si>
    <t xml:space="preserve">T-539</t>
  </si>
  <si>
    <t xml:space="preserve">Implement Event-Based Notification Triggers Service (business logic, rules &amp; validations)</t>
  </si>
  <si>
    <t xml:space="preserve">Implement the Event-Based Notification Triggers service layer. Business flow: Domain modules publish domain events (e.g., expense.submitted) to RabbitMQ.; Notification Service consumes events, resolves the recipient(s) and applicable template, and dispatches per FR-11.2.. Validations to enforce: Every new event type introduced by a domain module must be registered in the notification catalog before go-live; unregistered events are logged as a configuration gap rather than silently dropped.. Exception handling: Notification Service is temporarily down — events remain queued (durable queue) and are processed once the service recovers; no event is lost, though delivery may be delayed..</t>
  </si>
  <si>
    <t xml:space="preserve">NotificationEventLogRepository completed (T-538)</t>
  </si>
  <si>
    <t xml:space="preserve">T-540</t>
  </si>
  <si>
    <t xml:space="preserve">Implement Event-Based Notification Triggers REST APIs</t>
  </si>
  <si>
    <t xml:space="preserve">Implement the REST API(s) for Event-Based Notification Triggers: CRUD endpoints under /api/v1/notification-event-logs. Requests must enforce the validations and business rules implemented in the Event-Based Notification Triggers service, and return errors per: Notification Service is temporarily down — events remain queued (durable queue) and are processed once the service recovers; no event is lost, though delivery may be delayed..</t>
  </si>
  <si>
    <t xml:space="preserve">Event-Based Notification Triggers service completed (T-539)</t>
  </si>
  <si>
    <t xml:space="preserve">T-541</t>
  </si>
  <si>
    <t xml:space="preserve">Write unit tests for Event-Based Notification Triggers service and APIs</t>
  </si>
  <si>
    <t xml:space="preserve">Write unit tests covering the Event-Based Notification Triggers service logic, all validations (Every new event type introduced by a domain module must be registered in the notification catalog before go-live; unregistered events are logged as a configuration gap rather than silently dropped.), exception paths, and the REST API contract (CRUD endpoints under /api/v1/notification-event-logs).</t>
  </si>
  <si>
    <t xml:space="preserve">Event-Based Notification Triggers APIs completed (T-540)</t>
  </si>
  <si>
    <t xml:space="preserve">T-542</t>
  </si>
  <si>
    <t xml:space="preserve">Build Event-Based Notification Triggers screen/UI component</t>
  </si>
  <si>
    <t xml:space="preserve">Build the Event-Based Notification Triggers screen/UI component. UI behaviour: Administrator-facing notification catalog listing event types, templates, and enabled channels..</t>
  </si>
  <si>
    <t xml:space="preserve">Backend unit tests passed for Event-Based Notification Triggers (T-541)</t>
  </si>
  <si>
    <t xml:space="preserve">T-543</t>
  </si>
  <si>
    <t xml:space="preserve">Integrate Event-Based Notification Triggers APIs into UI and implement client-side validations</t>
  </si>
  <si>
    <t xml:space="preserve">Integrate CRUD endpoints under /api/v1/notification-event-logs into the Event-Based Notification Triggers screen; mirror the backend validations (Every new event type introduced by a domain module must be registered in the notification catalog before go-live; unregistered events are logged as a configuration gap rather than silently dropped.) on the client, show loading states, and surface user-facing error messages for: Notification Service is temporarily down — events remain queued (durable queue) and are processed once the service recovers; no event is lost, though delivery may be delayed..</t>
  </si>
  <si>
    <t xml:space="preserve">Event-Based Notification Triggers UI screen completed (T-542)</t>
  </si>
  <si>
    <t xml:space="preserve">T-544</t>
  </si>
  <si>
    <t xml:space="preserve">Perform UI testing for Event-Based Notification Triggers</t>
  </si>
  <si>
    <t xml:space="preserve">Perform UI testing for the Event-Based Notification Triggers screen: verify it behaves per the UI behaviour spec, all client-side validations trigger correctly, and API errors/loading states display as expected.</t>
  </si>
  <si>
    <t xml:space="preserve">Event-Based Notification Triggers API integration completed (T-543)</t>
  </si>
  <si>
    <t xml:space="preserve">T-545</t>
  </si>
  <si>
    <t xml:space="preserve">Code review, documentation &amp; deployment for Event-Based Notification Triggers</t>
  </si>
  <si>
    <t xml:space="preserve">Peer-review the Event-Based Notification Triggers implementation (entity, repository, service, APIs, UI), update technical documentation, and deploy to the QA environment.</t>
  </si>
  <si>
    <t xml:space="preserve">UI testing passed for Event-Based Notification Triggers (T-544)</t>
  </si>
  <si>
    <t xml:space="preserve">T-546</t>
  </si>
  <si>
    <t xml:space="preserve">EP11-S2 - Finance and Invoice notification events</t>
  </si>
  <si>
    <t xml:space="preserve">Sprint 13</t>
  </si>
  <si>
    <t xml:space="preserve">2027-02-07</t>
  </si>
  <si>
    <t xml:space="preserve">Event-Based Notification Triggers module completed (EP11-S1)</t>
  </si>
  <si>
    <t xml:space="preserve">- Every new event type introduced by a domain module must be registered in the notification catalog before go
- Domain modules publish domain events (e.g., expense.submitted) to RabbitMQ
- Finance Verified, Approved for Payment/Reimbursed, Sent to Invoice Team, and Billed events each trigger a n...
- Unit tests passed
- UI integrated successfully</t>
  </si>
  <si>
    <t xml:space="preserve">T-547</t>
  </si>
  <si>
    <t xml:space="preserve">notification_event_log table created (T-546)</t>
  </si>
  <si>
    <t xml:space="preserve">T-548</t>
  </si>
  <si>
    <t xml:space="preserve">NotificationEventLog entity completed (T-547)</t>
  </si>
  <si>
    <t xml:space="preserve">T-549</t>
  </si>
  <si>
    <t xml:space="preserve">NotificationEventLogRepository completed (T-548)</t>
  </si>
  <si>
    <t xml:space="preserve">T-550</t>
  </si>
  <si>
    <t xml:space="preserve">Event-Based Notification Triggers service completed (T-549)</t>
  </si>
  <si>
    <t xml:space="preserve">T-551</t>
  </si>
  <si>
    <t xml:space="preserve">Event-Based Notification Triggers APIs completed (T-550)</t>
  </si>
  <si>
    <t xml:space="preserve">T-552</t>
  </si>
  <si>
    <t xml:space="preserve">Backend unit tests passed for Event-Based Notification Triggers (T-551)</t>
  </si>
  <si>
    <t xml:space="preserve">T-553</t>
  </si>
  <si>
    <t xml:space="preserve">Event-Based Notification Triggers UI screen completed (T-552)</t>
  </si>
  <si>
    <t xml:space="preserve">T-554</t>
  </si>
  <si>
    <t xml:space="preserve">Event-Based Notification Triggers API integration completed (T-553)</t>
  </si>
  <si>
    <t xml:space="preserve">T-555</t>
  </si>
  <si>
    <t xml:space="preserve">UI testing passed for Event-Based Notification Triggers (T-554)</t>
  </si>
  <si>
    <t xml:space="preserve">T-556</t>
  </si>
  <si>
    <t xml:space="preserve">EP11-S3 - Permanent, uneditable audit trail for every expense</t>
  </si>
  <si>
    <t xml:space="preserve">Design audit_log database table</t>
  </si>
  <si>
    <t xml:space="preserve">Design the `audit_log` database table and related table(s) notification_event_log to support Event-Based Notification Triggers. Columns: audit_id, entity_name, entity_id, action, old_value, new_value, performed_by, performed_at. Purpose: Ensure all relevant actors are informed of state changes affecting them without requiring manual polling of the system.</t>
  </si>
  <si>
    <t xml:space="preserve">Event-Based Notification Triggers module completed (EP11-S2)</t>
  </si>
  <si>
    <t xml:space="preserve">- Every new event type introduced by a domain module must be registered in the notification catalog before go
- Domain modules publish domain events (e.g., expense.submitted) to RabbitMQ
- Every expense retains an uneditable record of creation, corrections, approvals, and status changes
- Unit tests passed
- UI integrated successfully</t>
  </si>
  <si>
    <t xml:space="preserve">T-557</t>
  </si>
  <si>
    <t xml:space="preserve">Create AuditLog entity mapped to audit_log table</t>
  </si>
  <si>
    <t xml:space="preserve">Create the AuditLog entity/model class mapped 1:1 to the `audit_log` table, with fields for audit_id, entity_name, entity_id, action, old_value, new_value, performed_by, performed_at, required relationships/foreign keys, standard audit columns (created_at, updated_at), and validation annotations on mandatory fields (per: Every new event type introduced by a domain module must be registered in the notification catalog before go-live; unregistered events are logged as a configuration gap rather than silently dropped.).</t>
  </si>
  <si>
    <t xml:space="preserve">audit_log table created (T-556)</t>
  </si>
  <si>
    <t xml:space="preserve">T-558</t>
  </si>
  <si>
    <t xml:space="preserve">Create AuditLogRepository with CRUD operations and custom queries</t>
  </si>
  <si>
    <t xml:space="preserve">Create AuditLogRepository exposing standard CRUD operations on `audit_log`, plus custom queries needed for Event-Based Notification Triggers: Domain modules publish domain events (e.g., expense.submitted) to RabbitMQ.; Notification Service consumes events, resolves the recipient(s) and applicable template, and dispatches per FR-11.2..</t>
  </si>
  <si>
    <t xml:space="preserve">AuditLog entity completed (T-557)</t>
  </si>
  <si>
    <t xml:space="preserve">T-559</t>
  </si>
  <si>
    <t xml:space="preserve">AuditLogRepository completed (T-558)</t>
  </si>
  <si>
    <t xml:space="preserve">T-560</t>
  </si>
  <si>
    <t xml:space="preserve">Implement the REST API(s) for Event-Based Notification Triggers: CRUD endpoints under /api/v1/audit-logs. Requests must enforce the validations and business rules implemented in the Event-Based Notification Triggers service, and return errors per: Notification Service is temporarily down — events remain queued (durable queue) and are processed once the service recovers; no event is lost, though delivery may be delayed..</t>
  </si>
  <si>
    <t xml:space="preserve">Event-Based Notification Triggers service completed (T-559)</t>
  </si>
  <si>
    <t xml:space="preserve">T-561</t>
  </si>
  <si>
    <t xml:space="preserve">Write unit tests covering the Event-Based Notification Triggers service logic, all validations (Every new event type introduced by a domain module must be registered in the notification catalog before go-live; unregistered events are logged as a configuration gap rather than silently dropped.), exception paths, and the REST API contract (CRUD endpoints under /api/v1/audit-logs).</t>
  </si>
  <si>
    <t xml:space="preserve">Event-Based Notification Triggers APIs completed (T-560)</t>
  </si>
  <si>
    <t xml:space="preserve">T-562</t>
  </si>
  <si>
    <t xml:space="preserve">Backend unit tests passed for Event-Based Notification Triggers (T-561)</t>
  </si>
  <si>
    <t xml:space="preserve">T-563</t>
  </si>
  <si>
    <t xml:space="preserve">Integrate CRUD endpoints under /api/v1/audit-logs into the Event-Based Notification Triggers screen; mirror the backend validations (Every new event type introduced by a domain module must be registered in the notification catalog before go-live; unregistered events are logged as a configuration gap rather than silently dropped.) on the client, show loading states, and surface user-facing error messages for: Notification Service is temporarily down — events remain queued (durable queue) and are processed once the service recovers; no event is lost, though delivery may be delayed..</t>
  </si>
  <si>
    <t xml:space="preserve">Event-Based Notification Triggers UI screen completed (T-562)</t>
  </si>
  <si>
    <t xml:space="preserve">T-564</t>
  </si>
  <si>
    <t xml:space="preserve">Event-Based Notification Triggers API integration completed (T-563)</t>
  </si>
  <si>
    <t xml:space="preserve">T-565</t>
  </si>
  <si>
    <t xml:space="preserve">UI testing passed for Event-Based Notification Triggers (T-564)</t>
  </si>
  <si>
    <t xml:space="preserve">T-566</t>
  </si>
  <si>
    <t xml:space="preserve">EP11-S4 - Activity tracking across correction loops and delegate actions</t>
  </si>
  <si>
    <t xml:space="preserve">Event-Based Notification Triggers module completed (EP11-S3)</t>
  </si>
  <si>
    <t xml:space="preserve">- Every new event type introduced by a domain module must be registered in the notification catalog before go
- Domain modules publish domain events (e.g., expense.submitted) to RabbitMQ
- Every correction-loop round trip and delegate action is individually visible in the activity trail, not jus...
- Unit tests passed
- UI integrated successfully</t>
  </si>
  <si>
    <t xml:space="preserve">T-567</t>
  </si>
  <si>
    <t xml:space="preserve">audit_log table created (T-566)</t>
  </si>
  <si>
    <t xml:space="preserve">T-568</t>
  </si>
  <si>
    <t xml:space="preserve">AuditLog entity completed (T-567)</t>
  </si>
  <si>
    <t xml:space="preserve">T-569</t>
  </si>
  <si>
    <t xml:space="preserve">AuditLogRepository completed (T-568)</t>
  </si>
  <si>
    <t xml:space="preserve">T-570</t>
  </si>
  <si>
    <t xml:space="preserve">Event-Based Notification Triggers service completed (T-569)</t>
  </si>
  <si>
    <t xml:space="preserve">T-571</t>
  </si>
  <si>
    <t xml:space="preserve">Event-Based Notification Triggers APIs completed (T-570)</t>
  </si>
  <si>
    <t xml:space="preserve">T-572</t>
  </si>
  <si>
    <t xml:space="preserve">Backend unit tests passed for Event-Based Notification Triggers (T-571)</t>
  </si>
  <si>
    <t xml:space="preserve">T-573</t>
  </si>
  <si>
    <t xml:space="preserve">Event-Based Notification Triggers UI screen completed (T-572)</t>
  </si>
  <si>
    <t xml:space="preserve">T-574</t>
  </si>
  <si>
    <t xml:space="preserve">Event-Based Notification Triggers API integration completed (T-573)</t>
  </si>
  <si>
    <t xml:space="preserve">T-575</t>
  </si>
  <si>
    <t xml:space="preserve">UI testing passed for Event-Based Notification Triggers (T-574)</t>
  </si>
  <si>
    <t xml:space="preserve">T-576</t>
  </si>
  <si>
    <t xml:space="preserve">EP11-S5 - Notification preferences and channel configuration</t>
  </si>
  <si>
    <t xml:space="preserve">Design notification_preference database table</t>
  </si>
  <si>
    <t xml:space="preserve">Design the `notification_preference` database table to support Notification Preference Management. Columns: user_id FK, event_category, channel, enabled. Purpose: Give users control over which non-critical notification types and channels they receive, reducing alert fatigue.</t>
  </si>
  <si>
    <t xml:space="preserve">Event-Based Notification Triggers module completed (EP11-S4)</t>
  </si>
  <si>
    <t xml:space="preserve">- Critical event categories display their in-app toggle as locked/disabled to communicate they cannot be turn
- User visits preference center, toggles channels per event category
- A user can choose which notification events they receive and through which channel (email/in-app)
- Unit tests passed
- UI integrated successfully</t>
  </si>
  <si>
    <t xml:space="preserve">T-577</t>
  </si>
  <si>
    <t xml:space="preserve">Create NotificationPreference entity mapped to notification_preference table</t>
  </si>
  <si>
    <t xml:space="preserve">Create the NotificationPreference entity/model class mapped 1:1 to the `notification_preference` table, with fields for user_id FK, event_category, channel, enabled, required relationships/foreign keys, standard audit columns (created_at, updated_at), and validation annotations on mandatory fields (per: Critical event categories display their in-app toggle as locked/disabled to communicate they cannot be turned off.).</t>
  </si>
  <si>
    <t xml:space="preserve">notification_preference table created (T-576)</t>
  </si>
  <si>
    <t xml:space="preserve">T-578</t>
  </si>
  <si>
    <t xml:space="preserve">Create NotificationPreferenceRepository with CRUD operations and custom queries</t>
  </si>
  <si>
    <t xml:space="preserve">Create NotificationPreferenceRepository exposing standard CRUD operations on `notification_preference`, plus custom queries needed for Notification Preference Management: User visits preference center, toggles channels per event category.; Preferences are honored by the Notification Service on every subsequent dispatch decision (FR-11.2)..</t>
  </si>
  <si>
    <t xml:space="preserve">NotificationPreference entity completed (T-577)</t>
  </si>
  <si>
    <t xml:space="preserve">T-579</t>
  </si>
  <si>
    <t xml:space="preserve">Implement Notification Preference Management Service (business logic, rules &amp; validations)</t>
  </si>
  <si>
    <t xml:space="preserve">Implement the Notification Preference Management service layer. Business flow: User visits preference center, toggles channels per event category.; Preferences are honored by the Notification Service on every subsequent dispatch decision (FR-11.2).. Validations to enforce: Critical event categories display their in-app toggle as locked/disabled to communicate they cannot be turned off.. Exception handling: User disables all channels for a non-critical category — system still logs the event for their own dashboard 'Recent Activity' feed (FR-10.1), which is not itself a push-style notification..</t>
  </si>
  <si>
    <t xml:space="preserve">NotificationPreferenceRepository completed (T-578)</t>
  </si>
  <si>
    <t xml:space="preserve">T-580</t>
  </si>
  <si>
    <t xml:space="preserve">Implement Notification Preference Management REST APIs</t>
  </si>
  <si>
    <t xml:space="preserve">Implement the REST API(s) for Notification Preference Management: GET /api/v1/users/{id}/notification-preferences, PUT /api/v1/users/{id}/notification-preferences. Requests must enforce the validations and business rules implemented in the Notification Preference Management service, and return errors per: User disables all channels for a non-critical category — system still logs the event for their own dashboard 'Recent Activity' feed (FR-10.1), which is not itself a push-style notification..</t>
  </si>
  <si>
    <t xml:space="preserve">Notification Preference Management service completed (T-579)</t>
  </si>
  <si>
    <t xml:space="preserve">T-581</t>
  </si>
  <si>
    <t xml:space="preserve">Write unit tests for Notification Preference Management service and APIs</t>
  </si>
  <si>
    <t xml:space="preserve">Write unit tests covering the Notification Preference Management service logic, all validations (Critical event categories display their in-app toggle as locked/disabled to communicate they cannot be turned off.), exception paths, and the REST API contract (GET /api/v1/users/{id}/notification-preferences, PUT /api/v1/users/{id}/notification-preferences).</t>
  </si>
  <si>
    <t xml:space="preserve">Notification Preference Management APIs completed (T-580)</t>
  </si>
  <si>
    <t xml:space="preserve">T-582</t>
  </si>
  <si>
    <t xml:space="preserve">Build Notification Preference Management screen/UI component</t>
  </si>
  <si>
    <t xml:space="preserve">Build the Notification Preference Management screen/UI component. UI behaviour: Simple table: event category rows × channel columns (Email/Push/In-App) with toggle switches..</t>
  </si>
  <si>
    <t xml:space="preserve">Backend unit tests passed for Notification Preference Management (T-581)</t>
  </si>
  <si>
    <t xml:space="preserve">T-583</t>
  </si>
  <si>
    <t xml:space="preserve">Integrate Notification Preference Management APIs into UI and implement client-side validations</t>
  </si>
  <si>
    <t xml:space="preserve">Integrate GET /api/v1/users/{id}/notification-preferences, PUT /api/v1/users/{id}/notification-preferences into the Notification Preference Management screen; mirror the backend validations (Critical event categories display their in-app toggle as locked/disabled to communicate they cannot be turned off.) on the client, show loading states, and surface user-facing error messages for: User disables all channels for a non-critical category — system still logs the event for their own dashboard 'Recent Activity' feed (FR-10.1), which is not itself a push-style notification..</t>
  </si>
  <si>
    <t xml:space="preserve">Notification Preference Management UI screen completed (T-582)</t>
  </si>
  <si>
    <t xml:space="preserve">T-584</t>
  </si>
  <si>
    <t xml:space="preserve">Perform UI testing for Notification Preference Management</t>
  </si>
  <si>
    <t xml:space="preserve">Perform UI testing for the Notification Preference Management screen: verify it behaves per the UI behaviour spec, all client-side validations trigger correctly, and API errors/loading states display as expected.</t>
  </si>
  <si>
    <t xml:space="preserve">Notification Preference Management API integration completed (T-583)</t>
  </si>
  <si>
    <t xml:space="preserve">T-585</t>
  </si>
  <si>
    <t xml:space="preserve">Code review, documentation &amp; deployment for Notification Preference Management</t>
  </si>
  <si>
    <t xml:space="preserve">Peer-review the Notification Preference Management implementation (entity, repository, service, APIs, UI), update technical documentation, and deploy to the QA environment.</t>
  </si>
  <si>
    <t xml:space="preserve">UI testing passed for Notification Preference Management (T-584)</t>
  </si>
  <si>
    <t xml:space="preserve">T-586</t>
  </si>
  <si>
    <t xml:space="preserve">EP10 - Dashboard, Reporting &amp; Analytics</t>
  </si>
  <si>
    <t xml:space="preserve">EP10-S1 - Employee dashboard</t>
  </si>
  <si>
    <t xml:space="preserve">Design the `expense_report` database table to support Employee Expense Summary Dashboard. Columns: report_id, report_number, employee_id, title, business_purpose, cost_center_id, report_status, currency_id, total_amount, reimbursable_amount, submitted_at, approved_at, closed_at, created_at, updated_at. Purpose: Give employees a self-service view of their claim history, status, and reimbursement timelines without contacting Finance.</t>
  </si>
  <si>
    <t xml:space="preserve">EP02 (Expense Report &amp; Line Item Management); EP06 (Expense Approval Workflow Management); EP07 (Finance Verification &amp; Reimbursement Management); EP08 (Client Billable Expense &amp; Invoice Integration); EP09 (Cost Center &amp; Expense Allocation Management) epic(s) completed</t>
  </si>
  <si>
    <t xml:space="preserve">- Row-level security ensures an employee can never query another employee's aggregate data through this view,
- Dashboard queries pre-aggregated views scoped to the logged-in employee's own records only
- Employee dashboard shows Draft, submitted, and in-correction reports plus advance status at a glance
- Unit tests passed
- UI integrated successfully</t>
  </si>
  <si>
    <t xml:space="preserve">T-587</t>
  </si>
  <si>
    <t xml:space="preserve">Create the ExpenseReport entity/model class mapped 1:1 to the `expense_report` table, with fields for report_id, report_number, employee_id, title, business_purpose, cost_center_id, report_status, currency_id, total_amount, reimbursable_amount, submitted_at, approved_at, closed_at, created_at, updated_at, required relationships/foreign keys, standard audit columns (created_at, updated_at), and validation annotations on mandatory fields (per: Row-level security ensures an employee can never query another employee's aggregate data through this view, even via direct API manipulation.).</t>
  </si>
  <si>
    <t xml:space="preserve">expense_report table created (T-586)</t>
  </si>
  <si>
    <t xml:space="preserve">T-588</t>
  </si>
  <si>
    <t xml:space="preserve">Create ExpenseReportRepository exposing standard CRUD operations on `expense_report`, plus custom queries needed for Employee Expense Summary Dashboard: Dashboard queries pre-aggregated views scoped to the logged-in employee's own records only.; Widgets refresh on a short-interval basis (e.g., every few minutes) rather than purely on-demand, balancing freshness and load..</t>
  </si>
  <si>
    <t xml:space="preserve">ExpenseReport entity completed (T-587)</t>
  </si>
  <si>
    <t xml:space="preserve">T-589</t>
  </si>
  <si>
    <t xml:space="preserve">Implement Employee Expense Summary Dashboard Service (business logic, rules &amp; validations)</t>
  </si>
  <si>
    <t xml:space="preserve">Implement the Employee Expense Summary Dashboard service layer. Business flow: Dashboard queries pre-aggregated views scoped to the logged-in employee's own records only.; Widgets refresh on a short-interval basis (e.g., every few minutes) rather than purely on-demand, balancing freshness and load.. Validations to enforce: Row-level security ensures an employee can never query another employee's aggregate data through this view, even via direct API manipulation.. Exception handling: Employee has no historical data (new joiner) — dashboard shows a helpful empty state with a 'Create your first expense report' call to action rather than blank widgets..</t>
  </si>
  <si>
    <t xml:space="preserve">ExpenseReportRepository completed (T-588)</t>
  </si>
  <si>
    <t xml:space="preserve">T-590</t>
  </si>
  <si>
    <t xml:space="preserve">Implement Employee Expense Summary Dashboard REST APIs</t>
  </si>
  <si>
    <t xml:space="preserve">Implement the REST API(s) for Employee Expense Summary Dashboard: GET /api/v1/dashboard/employee-summary. Requests must enforce the validations and business rules implemented in the Employee Expense Summary Dashboard service, and return errors per: Employee has no historical data (new joiner) — dashboard shows a helpful empty state with a 'Create your first expense report' call to action rather than blank widgets..</t>
  </si>
  <si>
    <t xml:space="preserve">Employee Expense Summary Dashboard service completed (T-589)</t>
  </si>
  <si>
    <t xml:space="preserve">T-591</t>
  </si>
  <si>
    <t xml:space="preserve">Write unit tests for Employee Expense Summary Dashboard service and APIs</t>
  </si>
  <si>
    <t xml:space="preserve">Write unit tests covering the Employee Expense Summary Dashboard service logic, all validations (Row-level security ensures an employee can never query another employee's aggregate data through this view, even via direct API manipulation.), exception paths, and the REST API contract (GET /api/v1/dashboard/employee-summary).</t>
  </si>
  <si>
    <t xml:space="preserve">Employee Expense Summary Dashboard APIs completed (T-590)</t>
  </si>
  <si>
    <t xml:space="preserve">T-592</t>
  </si>
  <si>
    <t xml:space="preserve">Build Employee Expense Summary Dashboard screen/UI component</t>
  </si>
  <si>
    <t xml:space="preserve">Build the Employee Expense Summary Dashboard screen/UI component. UI behaviour: Card-based layout: Pending Approvals, YTD Spend by Category (chart), Outstanding Advances, Recent Activity feed..</t>
  </si>
  <si>
    <t xml:space="preserve">Backend unit tests passed for Employee Expense Summary Dashboard (T-591)</t>
  </si>
  <si>
    <t xml:space="preserve">T-593</t>
  </si>
  <si>
    <t xml:space="preserve">Integrate Employee Expense Summary Dashboard APIs into UI and implement client-side validations</t>
  </si>
  <si>
    <t xml:space="preserve">Integrate GET /api/v1/dashboard/employee-summary into the Employee Expense Summary Dashboard screen; mirror the backend validations (Row-level security ensures an employee can never query another employee's aggregate data through this view, even via direct API manipulation.) on the client, show loading states, and surface user-facing error messages for: Employee has no historical data (new joiner) — dashboard shows a helpful empty state with a 'Create your first expense report' call to action rather than blank widgets..</t>
  </si>
  <si>
    <t xml:space="preserve">Employee Expense Summary Dashboard UI screen completed (T-592)</t>
  </si>
  <si>
    <t xml:space="preserve">T-594</t>
  </si>
  <si>
    <t xml:space="preserve">Perform UI testing for Employee Expense Summary Dashboard</t>
  </si>
  <si>
    <t xml:space="preserve">Perform UI testing for the Employee Expense Summary Dashboard screen: verify it behaves per the UI behaviour spec, all client-side validations trigger correctly, and API errors/loading states display as expected.</t>
  </si>
  <si>
    <t xml:space="preserve">Employee Expense Summary Dashboard API integration completed (T-593)</t>
  </si>
  <si>
    <t xml:space="preserve">T-595</t>
  </si>
  <si>
    <t xml:space="preserve">Code review, documentation &amp; deployment for Employee Expense Summary Dashboard</t>
  </si>
  <si>
    <t xml:space="preserve">Peer-review the Employee Expense Summary Dashboard implementation (entity, repository, service, APIs, UI), update technical documentation, and deploy to the QA environment.</t>
  </si>
  <si>
    <t xml:space="preserve">UI testing passed for Employee Expense Summary Dashboard (T-594)</t>
  </si>
  <si>
    <t xml:space="preserve">T-596</t>
  </si>
  <si>
    <t xml:space="preserve">EP10-S2 - Manager dashboard</t>
  </si>
  <si>
    <t xml:space="preserve">Design the `approval_task` database table to support Manager Team Spend Analytics. Columns: task_id, report_id, approver_id, approval_level, task_status, comments, assigned_at, actioned_at, due_date. Purpose: Enable managers to monitor their team's expense patterns, pending approvals, and policy exception frequency.</t>
  </si>
  <si>
    <t xml:space="preserve">Employee Expense Summary Dashboard module completed (EP10-S1)</t>
  </si>
  <si>
    <t xml:space="preserve">- Scope must strictly respect the reporting hierarchy at the time of viewing (a manager cannot see a former r
- Manager's dashboard scope is derived from the organizational hierarchy (resolved via the FR-1.1 UMS lookup,
- Manager dashboard shows the team's pending approval queue, delegate coverage status, and spend by cost center
- Unit tests passed
- UI integrated successfully</t>
  </si>
  <si>
    <t xml:space="preserve">T-597</t>
  </si>
  <si>
    <t xml:space="preserve">Create the ApprovalTask entity/model class mapped 1:1 to the `approval_task` table, with fields for task_id, report_id, approver_id, approval_level, task_status, comments, assigned_at, actioned_at, due_date, required relationships/foreign keys, standard audit columns (created_at, updated_at), and validation annotations on mandatory fields (per: Scope must strictly respect the reporting hierarchy at the time of viewing (a manager cannot see a former report's data after org changes, other than through their approval-history record which persists for audit purposes).).</t>
  </si>
  <si>
    <t xml:space="preserve">approval_task table created (T-596)</t>
  </si>
  <si>
    <t xml:space="preserve">T-598</t>
  </si>
  <si>
    <t xml:space="preserve">Create ApprovalTaskRepository exposing standard CRUD operations on `approval_task`, plus custom queries needed for Manager Team Spend Analytics: Manager's dashboard scope is derived from the organizational hierarchy (resolved via the FR-1.1 UMS lookup, not a local table), automatically including newly assigned reports without manual configuration.; Drill-down navigation takes the manager directly into the relevant approval task or historical report..</t>
  </si>
  <si>
    <t xml:space="preserve">ApprovalTask entity completed (T-597)</t>
  </si>
  <si>
    <t xml:space="preserve">T-599</t>
  </si>
  <si>
    <t xml:space="preserve">Implement Manager Team Spend Analytics Service (business logic, rules &amp; validations)</t>
  </si>
  <si>
    <t xml:space="preserve">Implement the Manager Team Spend Analytics service layer. Business flow: Manager's dashboard scope is derived from the organizational hierarchy (resolved via the FR-1.1 UMS lookup, not a local table), automatically including newly assigned reports without manual configuration.; Drill-down navigation takes the manager directly into the relevant approval task or historical report.. Validations to enforce: Scope must strictly respect the reporting hierarchy at the time of viewing (a manager cannot see a former report's data after org changes, other than through their approval-history record which persists for audit purposes).. Exception handling: Matrixed reporting (dotted-line managers) — out of initial scope; documented as an assumption that only the primary/solid-line manager hierarchy drives this view in the current release..</t>
  </si>
  <si>
    <t xml:space="preserve">ApprovalTaskRepository completed (T-598)</t>
  </si>
  <si>
    <t xml:space="preserve">T-600</t>
  </si>
  <si>
    <t xml:space="preserve">Implement Manager Team Spend Analytics REST APIs</t>
  </si>
  <si>
    <t xml:space="preserve">Implement the REST API(s) for Manager Team Spend Analytics: GET /api/v1/dashboard/manager-team-summary. Requests must enforce the validations and business rules implemented in the Manager Team Spend Analytics service, and return errors per: Matrixed reporting (dotted-line managers) — out of initial scope; documented as an assumption that only the primary/solid-line manager hierarchy drives this view in the current release..</t>
  </si>
  <si>
    <t xml:space="preserve">Manager Team Spend Analytics service completed (T-599)</t>
  </si>
  <si>
    <t xml:space="preserve">T-601</t>
  </si>
  <si>
    <t xml:space="preserve">Write unit tests for Manager Team Spend Analytics service and APIs</t>
  </si>
  <si>
    <t xml:space="preserve">Write unit tests covering the Manager Team Spend Analytics service logic, all validations (Scope must strictly respect the reporting hierarchy at the time of viewing (a manager cannot see a former report's data after org changes, other than through their approval-history record which persists for audit purposes).), exception paths, and the REST API contract (GET /api/v1/dashboard/manager-team-summary).</t>
  </si>
  <si>
    <t xml:space="preserve">Manager Team Spend Analytics APIs completed (T-600)</t>
  </si>
  <si>
    <t xml:space="preserve">T-602</t>
  </si>
  <si>
    <t xml:space="preserve">Build Manager Team Spend Analytics screen/UI component</t>
  </si>
  <si>
    <t xml:space="preserve">Build the Manager Team Spend Analytics screen/UI component. UI behaviour: Team roster table with per-employee spend total, pending count, and exception count columns, sortable..</t>
  </si>
  <si>
    <t xml:space="preserve">Backend unit tests passed for Manager Team Spend Analytics (T-601)</t>
  </si>
  <si>
    <t xml:space="preserve">T-603</t>
  </si>
  <si>
    <t xml:space="preserve">Integrate Manager Team Spend Analytics APIs into UI and implement client-side validations</t>
  </si>
  <si>
    <t xml:space="preserve">Integrate GET /api/v1/dashboard/manager-team-summary into the Manager Team Spend Analytics screen; mirror the backend validations (Scope must strictly respect the reporting hierarchy at the time of viewing (a manager cannot see a former report's data after org changes, other than through their approval-history record which persists for audit purposes).) on the client, show loading states, and surface user-facing error messages for: Matrixed reporting (dotted-line managers) — out of initial scope; documented as an assumption that only the primary/solid-line manager hierarchy drives this view in the current release..</t>
  </si>
  <si>
    <t xml:space="preserve">Manager Team Spend Analytics UI screen completed (T-602)</t>
  </si>
  <si>
    <t xml:space="preserve">T-604</t>
  </si>
  <si>
    <t xml:space="preserve">Perform UI testing for Manager Team Spend Analytics</t>
  </si>
  <si>
    <t xml:space="preserve">Perform UI testing for the Manager Team Spend Analytics screen: verify it behaves per the UI behaviour spec, all client-side validations trigger correctly, and API errors/loading states display as expected.</t>
  </si>
  <si>
    <t xml:space="preserve">Manager Team Spend Analytics API integration completed (T-603)</t>
  </si>
  <si>
    <t xml:space="preserve">T-605</t>
  </si>
  <si>
    <t xml:space="preserve">Code review, documentation &amp; deployment for Manager Team Spend Analytics</t>
  </si>
  <si>
    <t xml:space="preserve">Peer-review the Manager Team Spend Analytics implementation (entity, repository, service, APIs, UI), update technical documentation, and deploy to the QA environment.</t>
  </si>
  <si>
    <t xml:space="preserve">UI testing passed for Manager Team Spend Analytics (T-604)</t>
  </si>
  <si>
    <t xml:space="preserve">T-606</t>
  </si>
  <si>
    <t xml:space="preserve">EP10-S3 - Finance dashboard</t>
  </si>
  <si>
    <t xml:space="preserve">Design the `expense_line_item` database table to support Finance Reconciliation Report. Columns: line_item_id, report_id, category_id, expense_date, merchant_name, description, amount, currency_id, exchange_rate, base_amount, tax_amount, cost_center_id, project_id, client_billable, line_status, created_at, updated_at. Purpose: Support the Finance/AP team's period-close activities by reconciling verified, reimbursed, and invoiced amounts.</t>
  </si>
  <si>
    <t xml:space="preserve">Manager Team Spend Analytics module completed (EP10-S2)</t>
  </si>
  <si>
    <t xml:space="preserve">- Report generation is restricted to Finance Controller/AP Officer roles
- Report is generated for a selected period, cross-referencing expense_line_item, cash_advance_adjustment, an
- Finance dashboard shows the verification queue, reimbursement status counts, and Out-of-Policy flags awaiti...
- Unit tests passed
- UI integrated successfully</t>
  </si>
  <si>
    <t xml:space="preserve">T-607</t>
  </si>
  <si>
    <t xml:space="preserve">Create the ExpenseLineItem entity/model class mapped 1:1 to the `expense_line_item` table, with fields for line_item_id, report_id, category_id, expense_date, merchant_name, description, amount, currency_id, exchange_rate, base_amount, tax_amount, cost_center_id, project_id, client_billable, line_status, created_at, updated_at, required relationships/foreign keys, standard audit columns (created_at, updated_at), and validation annotations on mandatory fields (per: Report generation is restricted to Finance Controller/AP Officer roles.).</t>
  </si>
  <si>
    <t xml:space="preserve">expense_line_item table created (T-606)</t>
  </si>
  <si>
    <t xml:space="preserve">T-608</t>
  </si>
  <si>
    <t xml:space="preserve">Create ExpenseLineItemRepository exposing standard CRUD operations on `expense_line_item`, plus custom queries needed for Finance Reconciliation Report: Report is generated for a selected period, cross-referencing expense_line_item, cash_advance_adjustment, and invoice_sync_log data.; Discrepancies (e.g., Verified but not yet Reimbursed beyond an expected SLA) are highlighted as action items..</t>
  </si>
  <si>
    <t xml:space="preserve">ExpenseLineItem entity completed (T-607)</t>
  </si>
  <si>
    <t xml:space="preserve">T-609</t>
  </si>
  <si>
    <t xml:space="preserve">ExpenseLineItemRepository completed (T-608)</t>
  </si>
  <si>
    <t xml:space="preserve">T-610</t>
  </si>
  <si>
    <t xml:space="preserve">Finance Reconciliation Report service completed (T-609)</t>
  </si>
  <si>
    <t xml:space="preserve">T-611</t>
  </si>
  <si>
    <t xml:space="preserve">Finance Reconciliation Report APIs completed (T-610)</t>
  </si>
  <si>
    <t xml:space="preserve">T-612</t>
  </si>
  <si>
    <t xml:space="preserve">Backend unit tests passed for Finance Reconciliation Report (T-611)</t>
  </si>
  <si>
    <t xml:space="preserve">T-613</t>
  </si>
  <si>
    <t xml:space="preserve">Finance Reconciliation Report UI screen completed (T-612)</t>
  </si>
  <si>
    <t xml:space="preserve">T-614</t>
  </si>
  <si>
    <t xml:space="preserve">Finance Reconciliation Report API integration completed (T-613)</t>
  </si>
  <si>
    <t xml:space="preserve">T-615</t>
  </si>
  <si>
    <t xml:space="preserve">UI testing passed for Finance Reconciliation Report (T-614)</t>
  </si>
  <si>
    <t xml:space="preserve">T-616</t>
  </si>
  <si>
    <t xml:space="preserve">EP10-S4 - Invoice Team dashboard</t>
  </si>
  <si>
    <t xml:space="preserve">Design the `invoice_sync` database table and related table(s) invoice_sync_log to support Sync to Invoice Module. Columns: sync_id, line_item_id, invoice_reference, sync_status, sync_date, retry_count, remarks. Purpose: Transmit Finance-verified, client-billable line items to the Invoice Module for inclusion in client billing, per BR-13.</t>
  </si>
  <si>
    <t xml:space="preserve">Sprint 14</t>
  </si>
  <si>
    <t xml:space="preserve">2027-02-21</t>
  </si>
  <si>
    <t xml:space="preserve">Finance Reconciliation Report module completed (EP10-S3)</t>
  </si>
  <si>
    <t xml:space="preserve">- Only fully Verified line items are eligible for sync; partially verified reports sync only their completed 
- Upon full Finance Verification of a client-billable item, an event is published to a dedicated RabbitMQ exc
- Invoice Team dashboard shows verified client expenses awaiting invoicing and Billed confirmations, organize...
- Unit tests passed
- UI integrated successfully</t>
  </si>
  <si>
    <t xml:space="preserve">T-617</t>
  </si>
  <si>
    <t xml:space="preserve">Create the InvoiceSync entity/model class mapped 1:1 to the `invoice_sync` table, with fields for sync_id, line_item_id, invoice_reference, sync_status, sync_date, retry_count, remarks, required relationships/foreign keys, standard audit columns (created_at, updated_at), and validation annotations on mandatory fields (per: Only fully Verified line items are eligible for sync; partially verified reports sync only their completed billable items.).</t>
  </si>
  <si>
    <t xml:space="preserve">invoice_sync table created (T-616)</t>
  </si>
  <si>
    <t xml:space="preserve">T-618</t>
  </si>
  <si>
    <t xml:space="preserve">Create InvoiceSyncRepository exposing standard CRUD operations on `invoice_sync`, plus custom queries needed for Sync to Invoice Module: Upon full Finance Verification of a client-billable item, an event is published to a dedicated RabbitMQ exchange consumed by the Invoice Module.; EMS report status moves to Awaiting Invoice Sync and awaits an acknowledgement event..</t>
  </si>
  <si>
    <t xml:space="preserve">InvoiceSync entity completed (T-617)</t>
  </si>
  <si>
    <t xml:space="preserve">T-619</t>
  </si>
  <si>
    <t xml:space="preserve">InvoiceSyncRepository completed (T-618)</t>
  </si>
  <si>
    <t xml:space="preserve">T-620</t>
  </si>
  <si>
    <t xml:space="preserve">Implement the REST API(s) for Sync to Invoice Module: CRUD endpoints under /api/v1/invoice-syncs. Requests must enforce the validations and business rules implemented in the Sync to Invoice Module service, and return errors per: Invoice Module rejects the sync due to a data validation issue on its end (e.g., missing billing contact) — rejection reason is surfaced back to Finance for correction and re-sync, not silently dropped..</t>
  </si>
  <si>
    <t xml:space="preserve">Sync to Invoice Module service completed (T-619)</t>
  </si>
  <si>
    <t xml:space="preserve">T-621</t>
  </si>
  <si>
    <t xml:space="preserve">Write unit tests covering the Sync to Invoice Module service logic, all validations (Only fully Verified line items are eligible for sync; partially verified reports sync only their completed billable items.), exception paths, and the REST API contract (CRUD endpoints under /api/v1/invoice-syncs).</t>
  </si>
  <si>
    <t xml:space="preserve">Sync to Invoice Module APIs completed (T-620)</t>
  </si>
  <si>
    <t xml:space="preserve">T-622</t>
  </si>
  <si>
    <t xml:space="preserve">Backend unit tests passed for Sync to Invoice Module (T-621)</t>
  </si>
  <si>
    <t xml:space="preserve">T-623</t>
  </si>
  <si>
    <t xml:space="preserve">Integrate CRUD endpoints under /api/v1/invoice-syncs into the Sync to Invoice Module screen; mirror the backend validations (Only fully Verified line items are eligible for sync; partially verified reports sync only their completed billable items.) on the client, show loading states, and surface user-facing error messages for: Invoice Module rejects the sync due to a data validation issue on its end (e.g., missing billing contact) — rejection reason is surfaced back to Finance for correction and re-sync, not silently dropped..</t>
  </si>
  <si>
    <t xml:space="preserve">Sync to Invoice Module UI screen completed (T-622)</t>
  </si>
  <si>
    <t xml:space="preserve">T-624</t>
  </si>
  <si>
    <t xml:space="preserve">Sync to Invoice Module API integration completed (T-623)</t>
  </si>
  <si>
    <t xml:space="preserve">T-625</t>
  </si>
  <si>
    <t xml:space="preserve">UI testing passed for Sync to Invoice Module (T-624)</t>
  </si>
  <si>
    <t xml:space="preserve">T-626</t>
  </si>
  <si>
    <t xml:space="preserve">EP10-S5 - Standard spend reports</t>
  </si>
  <si>
    <t xml:space="preserve">Design the `expense_line_item` database table to support Custom Report Builder. Columns: line_item_id, report_id, category_id, expense_date, merchant_name, description, amount, currency_id, exchange_rate, base_amount, tax_amount, cost_center_id, project_id, client_billable, line_status, created_at, updated_at. Purpose: Allow power users (Finance, Administrators) to construct ad hoc reports beyond the fixed dashboard/report set.</t>
  </si>
  <si>
    <t xml:space="preserve">Sync to Invoice Module module completed (EP10-S4)</t>
  </si>
  <si>
    <t xml:space="preserve">- Only pre-approved dimension/measure combinations are exposed to prevent performance-degrading or overly bro
- User selects dimensions/measures/filters via a guided UI rather than writing raw queries
- Standard reports cover spend by employee, department, project, and category, exportable for offline review
- Unit tests passed
- UI integrated successfully</t>
  </si>
  <si>
    <t xml:space="preserve">T-627</t>
  </si>
  <si>
    <t xml:space="preserve">Create the ExpenseLineItem entity/model class mapped 1:1 to the `expense_line_item` table, with fields for line_item_id, report_id, category_id, expense_date, merchant_name, description, amount, currency_id, exchange_rate, base_amount, tax_amount, cost_center_id, project_id, client_billable, line_status, created_at, updated_at, required relationships/foreign keys, standard audit columns (created_at, updated_at), and validation annotations on mandatory fields (per: Only pre-approved dimension/measure combinations are exposed to prevent performance-degrading or overly broad cross-joins.).</t>
  </si>
  <si>
    <t xml:space="preserve">expense_line_item table created (T-626)</t>
  </si>
  <si>
    <t xml:space="preserve">T-628</t>
  </si>
  <si>
    <t xml:space="preserve">Create ExpenseLineItemRepository exposing standard CRUD operations on `expense_line_item`, plus custom queries needed for Custom Report Builder: User selects dimensions/measures/filters via a guided UI rather than writing raw queries.; System translates the selection into a parameterized, pre-vetted query template to prevent arbitrary/unsafe query execution..</t>
  </si>
  <si>
    <t xml:space="preserve">ExpenseLineItem entity completed (T-627)</t>
  </si>
  <si>
    <t xml:space="preserve">T-629</t>
  </si>
  <si>
    <t xml:space="preserve">Implement Custom Report Builder Service (business logic, rules &amp; validations)</t>
  </si>
  <si>
    <t xml:space="preserve">Implement the Custom Report Builder service layer. Business flow: User selects dimensions/measures/filters via a guided UI rather than writing raw queries.; System translates the selection into a parameterized, pre-vetted query template to prevent arbitrary/unsafe query execution.. Validations to enforce: Only pre-approved dimension/measure combinations are exposed to prevent performance-degrading or overly broad cross-joins.. Exception handling: User selects a combination that would return an excessively large result set — system prompts to narrow filters before execution rather than silently truncating results, which could mislead financial interpretation..</t>
  </si>
  <si>
    <t xml:space="preserve">ExpenseLineItemRepository completed (T-628)</t>
  </si>
  <si>
    <t xml:space="preserve">T-630</t>
  </si>
  <si>
    <t xml:space="preserve">Implement Custom Report Builder REST APIs</t>
  </si>
  <si>
    <t xml:space="preserve">Implement the REST API(s) for Custom Report Builder: POST /api/v1/reports/custom-builder. Requests must enforce the validations and business rules implemented in the Custom Report Builder service, and return errors per: User selects a combination that would return an excessively large result set — system prompts to narrow filters before execution rather than silently truncating results, which could mislead financial interpretation..</t>
  </si>
  <si>
    <t xml:space="preserve">Custom Report Builder service completed (T-629)</t>
  </si>
  <si>
    <t xml:space="preserve">T-631</t>
  </si>
  <si>
    <t xml:space="preserve">Write unit tests for Custom Report Builder service and APIs</t>
  </si>
  <si>
    <t xml:space="preserve">Write unit tests covering the Custom Report Builder service logic, all validations (Only pre-approved dimension/measure combinations are exposed to prevent performance-degrading or overly broad cross-joins.), exception paths, and the REST API contract (POST /api/v1/reports/custom-builder).</t>
  </si>
  <si>
    <t xml:space="preserve">Custom Report Builder APIs completed (T-630)</t>
  </si>
  <si>
    <t xml:space="preserve">T-632</t>
  </si>
  <si>
    <t xml:space="preserve">Build Custom Report Builder screen/UI component</t>
  </si>
  <si>
    <t xml:space="preserve">Build the Custom Report Builder screen/UI component. UI behaviour: Drag-and-drop dimension/measure builder with a live preview of the first 20 rows before full export..</t>
  </si>
  <si>
    <t xml:space="preserve">Backend unit tests passed for Custom Report Builder (T-631)</t>
  </si>
  <si>
    <t xml:space="preserve">T-633</t>
  </si>
  <si>
    <t xml:space="preserve">Integrate Custom Report Builder APIs into UI and implement client-side validations</t>
  </si>
  <si>
    <t xml:space="preserve">Integrate POST /api/v1/reports/custom-builder into the Custom Report Builder screen; mirror the backend validations (Only pre-approved dimension/measure combinations are exposed to prevent performance-degrading or overly broad cross-joins.) on the client, show loading states, and surface user-facing error messages for: User selects a combination that would return an excessively large result set — system prompts to narrow filters before execution rather than silently truncating results, which could mislead financial interpretation..</t>
  </si>
  <si>
    <t xml:space="preserve">Custom Report Builder UI screen completed (T-632)</t>
  </si>
  <si>
    <t xml:space="preserve">T-634</t>
  </si>
  <si>
    <t xml:space="preserve">Perform UI testing for Custom Report Builder</t>
  </si>
  <si>
    <t xml:space="preserve">Perform UI testing for the Custom Report Builder screen: verify it behaves per the UI behaviour spec, all client-side validations trigger correctly, and API errors/loading states display as expected.</t>
  </si>
  <si>
    <t xml:space="preserve">Custom Report Builder API integration completed (T-633)</t>
  </si>
  <si>
    <t xml:space="preserve">T-635</t>
  </si>
  <si>
    <t xml:space="preserve">Code review, documentation &amp; deployment for Custom Report Builder</t>
  </si>
  <si>
    <t xml:space="preserve">Peer-review the Custom Report Builder implementation (entity, repository, service, APIs, UI), update technical documentation, and deploy to the QA environment.</t>
  </si>
  <si>
    <t xml:space="preserve">UI testing passed for Custom Report Builder (T-634)</t>
  </si>
  <si>
    <t xml:space="preserve">T-636</t>
  </si>
  <si>
    <t xml:space="preserve">EP10-S6 - Multi-currency and client-billable reports</t>
  </si>
  <si>
    <t xml:space="preserve">Custom Report Builder module completed (EP10-S5)</t>
  </si>
  <si>
    <t xml:space="preserve">- Only pre-approved dimension/measure combinations are exposed to prevent performance-degrading or overly bro
- User selects dimensions/measures/filters via a guided UI rather than writing raw queries
- Reports reconcile original-currency spend against home-currency totals and show client-billable spend ahead...
- Unit tests passed
- UI integrated successfully</t>
  </si>
  <si>
    <t xml:space="preserve">T-637</t>
  </si>
  <si>
    <t xml:space="preserve">expense_line_item table created (T-636)</t>
  </si>
  <si>
    <t xml:space="preserve">T-638</t>
  </si>
  <si>
    <t xml:space="preserve">ExpenseLineItem entity completed (T-637)</t>
  </si>
  <si>
    <t xml:space="preserve">T-639</t>
  </si>
  <si>
    <t xml:space="preserve">ExpenseLineItemRepository completed (T-638)</t>
  </si>
  <si>
    <t xml:space="preserve">T-640</t>
  </si>
  <si>
    <t xml:space="preserve">Custom Report Builder service completed (T-639)</t>
  </si>
  <si>
    <t xml:space="preserve">T-641</t>
  </si>
  <si>
    <t xml:space="preserve">Custom Report Builder APIs completed (T-640)</t>
  </si>
  <si>
    <t xml:space="preserve">T-642</t>
  </si>
  <si>
    <t xml:space="preserve">Backend unit tests passed for Custom Report Builder (T-641)</t>
  </si>
  <si>
    <t xml:space="preserve">T-643</t>
  </si>
  <si>
    <t xml:space="preserve">Custom Report Builder UI screen completed (T-642)</t>
  </si>
  <si>
    <t xml:space="preserve">T-644</t>
  </si>
  <si>
    <t xml:space="preserve">Custom Report Builder API integration completed (T-643)</t>
  </si>
  <si>
    <t xml:space="preserve">T-645</t>
  </si>
  <si>
    <t xml:space="preserve">UI testing passed for Custom Report Builder (T-644)</t>
  </si>
  <si>
    <t xml:space="preserve">T-646</t>
  </si>
  <si>
    <t xml:space="preserve">EP12 - Search, Filters &amp; Expense Tracking</t>
  </si>
  <si>
    <t xml:space="preserve">EP12-S1 - Global search across reports and line items</t>
  </si>
  <si>
    <t xml:space="preserve">Design index database table</t>
  </si>
  <si>
    <t xml:space="preserve">Design the `index` database table to support Global Expense Search. Columns: e.g., PostgreSQL full-text search or a dedicated search service. Purpose: Allow any authorized user to quickly locate a specific expense report or line item by free-text query.</t>
  </si>
  <si>
    <t xml:space="preserve">EP02 (Expense Report &amp; Line Item Management); EP04 (Cash Advance Management); EP06 (Expense Approval Workflow Management); EP07 (Finance Verification &amp; Reimbursement Management); EP08 (Client Billable Expense &amp; Invoice Integration) epic(s) completed</t>
  </si>
  <si>
    <t xml:space="preserve">- Search scope enforcement is a hard server-side rule, never a client-side filter, to prevent data leakage vi
- User enters a query in the global search bar; results are scoped server-side to what the requesting role/id
- A single search finds reports and line items by employee, merchant, category, or free text
- Unit tests passed
- UI integrated successfully</t>
  </si>
  <si>
    <t xml:space="preserve">T-647</t>
  </si>
  <si>
    <t xml:space="preserve">Create Index entity mapped to index table</t>
  </si>
  <si>
    <t xml:space="preserve">Create the Index entity/model class mapped 1:1 to the `index` table, with fields for e.g., PostgreSQL full-text search or a dedicated search service, required relationships/foreign keys, standard audit columns (created_at, updated_at), and validation annotations on mandatory fields (per: Search scope enforcement is a hard server-side rule, never a client-side filter, to prevent data leakage via direct API calls.).</t>
  </si>
  <si>
    <t xml:space="preserve">index table created (T-646)</t>
  </si>
  <si>
    <t xml:space="preserve">T-648</t>
  </si>
  <si>
    <t xml:space="preserve">Create IndexRepository with CRUD operations and custom queries</t>
  </si>
  <si>
    <t xml:space="preserve">Create IndexRepository exposing standard CRUD operations on `index`, plus custom queries needed for Global Expense Search: User enters a query in the global search bar; results are scoped server-side to what the requesting role/identity is permitted to see (own data for Employee, team data for Manager, all data for Finance/Auditor).; Results are ranked by relevance with status and date shown for quick identification..</t>
  </si>
  <si>
    <t xml:space="preserve">Index entity completed (T-647)</t>
  </si>
  <si>
    <t xml:space="preserve">T-649</t>
  </si>
  <si>
    <t xml:space="preserve">Implement Global Expense Search Service (business logic, rules &amp; validations)</t>
  </si>
  <si>
    <t xml:space="preserve">Implement the Global Expense Search service layer. Business flow: User enters a query in the global search bar; results are scoped server-side to what the requesting role/identity is permitted to see (own data for Employee, team data for Manager, all data for Finance/Auditor).; Results are ranked by relevance with status and date shown for quick identification.. Validations to enforce: Search scope enforcement is a hard server-side rule, never a client-side filter, to prevent data leakage via direct API calls.. Exception handling: Query returns zero results — system suggests scope/spelling adjustments rather than a bare empty state..</t>
  </si>
  <si>
    <t xml:space="preserve">IndexRepository completed (T-648)</t>
  </si>
  <si>
    <t xml:space="preserve">T-650</t>
  </si>
  <si>
    <t xml:space="preserve">Implement Global Expense Search REST APIs</t>
  </si>
  <si>
    <t xml:space="preserve">Implement the REST API(s) for Global Expense Search: GET /api/v1/search?q=&amp;scope=. Requests must enforce the validations and business rules implemented in the Global Expense Search service, and return errors per: Query returns zero results — system suggests scope/spelling adjustments rather than a bare empty state..</t>
  </si>
  <si>
    <t xml:space="preserve">Global Expense Search service completed (T-649)</t>
  </si>
  <si>
    <t xml:space="preserve">T-651</t>
  </si>
  <si>
    <t xml:space="preserve">Write unit tests for Global Expense Search service and APIs</t>
  </si>
  <si>
    <t xml:space="preserve">Write unit tests covering the Global Expense Search service logic, all validations (Search scope enforcement is a hard server-side rule, never a client-side filter, to prevent data leakage via direct API calls.), exception paths, and the REST API contract (GET /api/v1/search?q=&amp;scope=).</t>
  </si>
  <si>
    <t xml:space="preserve">Global Expense Search APIs completed (T-650)</t>
  </si>
  <si>
    <t xml:space="preserve">T-652</t>
  </si>
  <si>
    <t xml:space="preserve">Build Global Expense Search screen/UI component</t>
  </si>
  <si>
    <t xml:space="preserve">Build the Global Expense Search screen/UI component. UI behaviour: Prominent search bar in the global navigation; results shown in a dropdown preview and a full results page..</t>
  </si>
  <si>
    <t xml:space="preserve">Backend unit tests passed for Global Expense Search (T-651)</t>
  </si>
  <si>
    <t xml:space="preserve">T-653</t>
  </si>
  <si>
    <t xml:space="preserve">Integrate Global Expense Search APIs into UI and implement client-side validations</t>
  </si>
  <si>
    <t xml:space="preserve">Integrate GET /api/v1/search?q=&amp;scope= into the Global Expense Search screen; mirror the backend validations (Search scope enforcement is a hard server-side rule, never a client-side filter, to prevent data leakage via direct API calls.) on the client, show loading states, and surface user-facing error messages for: Query returns zero results — system suggests scope/spelling adjustments rather than a bare empty state..</t>
  </si>
  <si>
    <t xml:space="preserve">Global Expense Search UI screen completed (T-652)</t>
  </si>
  <si>
    <t xml:space="preserve">T-654</t>
  </si>
  <si>
    <t xml:space="preserve">Perform UI testing for Global Expense Search</t>
  </si>
  <si>
    <t xml:space="preserve">Perform UI testing for the Global Expense Search screen: verify it behaves per the UI behaviour spec, all client-side validations trigger correctly, and API errors/loading states display as expected.</t>
  </si>
  <si>
    <t xml:space="preserve">Global Expense Search API integration completed (T-653)</t>
  </si>
  <si>
    <t xml:space="preserve">T-655</t>
  </si>
  <si>
    <t xml:space="preserve">Code review, documentation &amp; deployment for Global Expense Search</t>
  </si>
  <si>
    <t xml:space="preserve">Peer-review the Global Expense Search implementation (entity, repository, service, APIs, UI), update technical documentation, and deploy to the QA environment.</t>
  </si>
  <si>
    <t xml:space="preserve">UI testing passed for Global Expense Search (T-654)</t>
  </si>
  <si>
    <t xml:space="preserve">T-656</t>
  </si>
  <si>
    <t xml:space="preserve">EP12-S2 - Advanced filters</t>
  </si>
  <si>
    <t xml:space="preserve">Design scale database table</t>
  </si>
  <si>
    <t xml:space="preserve">Design the `scale` database table to support Advanced Multi-Criteria Filter. Columns: NFR-01. Purpose: Support precise, structured narrowing of expense data by combining multiple simultaneous criteria.</t>
  </si>
  <si>
    <t xml:space="preserve">Sprint 15</t>
  </si>
  <si>
    <t xml:space="preserve">2027-03-07</t>
  </si>
  <si>
    <t xml:space="preserve">Global Expense Search module completed (EP12-S1)</t>
  </si>
  <si>
    <t xml:space="preserve">- Amount range filter validates min ≤ max before applying
- User applies one or more filters; results update reactively
- Results can be filtered by employee, category, client, status, and date range in combination
- Unit tests passed
- UI integrated successfully</t>
  </si>
  <si>
    <t xml:space="preserve">T-657</t>
  </si>
  <si>
    <t xml:space="preserve">Create Scale entity mapped to scale table</t>
  </si>
  <si>
    <t xml:space="preserve">Create the Scale entity/model class mapped 1:1 to the `scale` table, with fields for NFR-01, required relationships/foreign keys, standard audit columns (created_at, updated_at), and validation annotations on mandatory fields (per: Amount range filter validates min ≤ max before applying.).</t>
  </si>
  <si>
    <t xml:space="preserve">scale table created (T-656)</t>
  </si>
  <si>
    <t xml:space="preserve">T-658</t>
  </si>
  <si>
    <t xml:space="preserve">Create ScaleRepository with CRUD operations and custom queries</t>
  </si>
  <si>
    <t xml:space="preserve">Create ScaleRepository exposing standard CRUD operations on `scale`, plus custom queries needed for Advanced Multi-Criteria Filter: User applies one or more filters; results update reactively.; Filter combinations are encoded in the URL query string to support shareable/bookmarkable filtered views (for roles where sharing is appropriate, e.g., Finance team links)..</t>
  </si>
  <si>
    <t xml:space="preserve">Scale entity completed (T-657)</t>
  </si>
  <si>
    <t xml:space="preserve">T-659</t>
  </si>
  <si>
    <t xml:space="preserve">Implement Advanced Multi-Criteria Filter Service (business logic, rules &amp; validations)</t>
  </si>
  <si>
    <t xml:space="preserve">Implement the Advanced Multi-Criteria Filter service layer. Business flow: User applies one or more filters; results update reactively.; Filter combinations are encoded in the URL query string to support shareable/bookmarkable filtered views (for roles where sharing is appropriate, e.g., Finance team links).. Validations to enforce: Amount range filter validates min ≤ max before applying.. Exception handling: Conflicting filter combination yields no logical results (e.g., a status that cannot co-occur with a selected date range given data reality) — system does not error but simply shows the accurate empty result set..</t>
  </si>
  <si>
    <t xml:space="preserve">ScaleRepository completed (T-658)</t>
  </si>
  <si>
    <t xml:space="preserve">T-660</t>
  </si>
  <si>
    <t xml:space="preserve">Implement Advanced Multi-Criteria Filter REST APIs</t>
  </si>
  <si>
    <t xml:space="preserve">Implement the REST API(s) for Advanced Multi-Criteria Filter: GET /api/v1/expense-reports?status=&amp;dateFrom=&amp;dateTo=&amp;category=&amp;costCenter=&amp;amountMin=&amp;amountMax=&amp;billable=. Requests must enforce the validations and business rules implemented in the Advanced Multi-Criteria Filter service, and return errors per: Conflicting filter combination yields no logical results (e.g., a status that cannot co-occur with a selected date range given data reality) — system does not error but simply shows the accurate empty result set..</t>
  </si>
  <si>
    <t xml:space="preserve">Advanced Multi-Criteria Filter service completed (T-659)</t>
  </si>
  <si>
    <t xml:space="preserve">T-661</t>
  </si>
  <si>
    <t xml:space="preserve">Write unit tests for Advanced Multi-Criteria Filter service and APIs</t>
  </si>
  <si>
    <t xml:space="preserve">Write unit tests covering the Advanced Multi-Criteria Filter service logic, all validations (Amount range filter validates min ≤ max before applying.), exception paths, and the REST API contract (GET /api/v1/expense-reports?status=&amp;dateFrom=&amp;dateTo=&amp;category=&amp;costCenter=&amp;amountMin=&amp;amountMax=&amp;billable=).</t>
  </si>
  <si>
    <t xml:space="preserve">Advanced Multi-Criteria Filter APIs completed (T-660)</t>
  </si>
  <si>
    <t xml:space="preserve">T-662</t>
  </si>
  <si>
    <t xml:space="preserve">Build Advanced Multi-Criteria Filter screen/UI component</t>
  </si>
  <si>
    <t xml:space="preserve">Build the Advanced Multi-Criteria Filter screen/UI component. UI behaviour: Collapsible filter sidebar with active-filter chips shown above the results table for easy removal..</t>
  </si>
  <si>
    <t xml:space="preserve">Backend unit tests passed for Advanced Multi-Criteria Filter (T-661)</t>
  </si>
  <si>
    <t xml:space="preserve">T-663</t>
  </si>
  <si>
    <t xml:space="preserve">Integrate Advanced Multi-Criteria Filter APIs into UI and implement client-side validations</t>
  </si>
  <si>
    <t xml:space="preserve">Integrate GET /api/v1/expense-reports?status=&amp;dateFrom=&amp;dateTo=&amp;category=&amp;costCenter=&amp;amountMin=&amp;amountMax=&amp;billable= into the Advanced Multi-Criteria Filter screen; mirror the backend validations (Amount range filter validates min ≤ max before applying.) on the client, show loading states, and surface user-facing error messages for: Conflicting filter combination yields no logical results (e.g., a status that cannot co-occur with a selected date range given data reality) — system does not error but simply shows the accurate empty result set..</t>
  </si>
  <si>
    <t xml:space="preserve">Advanced Multi-Criteria Filter UI screen completed (T-662)</t>
  </si>
  <si>
    <t xml:space="preserve">T-664</t>
  </si>
  <si>
    <t xml:space="preserve">Perform UI testing for Advanced Multi-Criteria Filter</t>
  </si>
  <si>
    <t xml:space="preserve">Perform UI testing for the Advanced Multi-Criteria Filter screen: verify it behaves per the UI behaviour spec, all client-side validations trigger correctly, and API errors/loading states display as expected.</t>
  </si>
  <si>
    <t xml:space="preserve">Advanced Multi-Criteria Filter API integration completed (T-663)</t>
  </si>
  <si>
    <t xml:space="preserve">T-665</t>
  </si>
  <si>
    <t xml:space="preserve">Code review, documentation &amp; deployment for Advanced Multi-Criteria Filter</t>
  </si>
  <si>
    <t xml:space="preserve">Peer-review the Advanced Multi-Criteria Filter implementation (entity, repository, service, APIs, UI), update technical documentation, and deploy to the QA environment.</t>
  </si>
  <si>
    <t xml:space="preserve">UI testing passed for Advanced Multi-Criteria Filter (T-664)</t>
  </si>
  <si>
    <t xml:space="preserve">T-666</t>
  </si>
  <si>
    <t xml:space="preserve">EP12-S3 - Status tracking view</t>
  </si>
  <si>
    <t xml:space="preserve">Design the `expense_report` database table and related table(s) search_preset to support Saved Search/Filter Presets. Columns: report_id, report_number, employee_id, title, business_purpose, cost_center_id, report_status, currency_id, total_amount, reimbursable_amount, submitted_at, approved_at, closed_at, created_at, updated_at. Purpose: Reduce repetitive filter reconstruction for recurring review tasks (e.g., Finance's 'daily pending verification' view).</t>
  </si>
  <si>
    <t xml:space="preserve">Advanced Multi-Criteria Filter module completed (EP12-S2)</t>
  </si>
  <si>
    <t xml:space="preserve">- Preset name must be unique per user (or per team, for shared presets)
- User configures a filter set, clicks 'Save as Preset', names it
- A single view lets any user track the current status of a report, advance, reimbursement, or billing item
- Unit tests passed
- UI integrated successfully</t>
  </si>
  <si>
    <t xml:space="preserve">T-667</t>
  </si>
  <si>
    <t xml:space="preserve">Create the ExpenseReport entity/model class mapped 1:1 to the `expense_report` table, with fields for report_id, report_number, employee_id, title, business_purpose, cost_center_id, report_status, currency_id, total_amount, reimbursable_amount, submitted_at, approved_at, closed_at, created_at, updated_at, required relationships/foreign keys, standard audit columns (created_at, updated_at), and validation annotations on mandatory fields (per: Preset name must be unique per user (or per team, for shared presets).).</t>
  </si>
  <si>
    <t xml:space="preserve">expense_report table created (T-666)</t>
  </si>
  <si>
    <t xml:space="preserve">T-668</t>
  </si>
  <si>
    <t xml:space="preserve">Create ExpenseReportRepository exposing standard CRUD operations on `expense_report`, plus custom queries needed for Saved Search/Filter Presets: User configures a filter set, clicks 'Save as Preset', names it.; Preset appears in a personal quick-access list; if shared, becomes visible to other users in the same role/team scope..</t>
  </si>
  <si>
    <t xml:space="preserve">ExpenseReport entity completed (T-667)</t>
  </si>
  <si>
    <t xml:space="preserve">T-669</t>
  </si>
  <si>
    <t xml:space="preserve">Implement Saved Search/Filter Presets Service (business logic, rules &amp; validations)</t>
  </si>
  <si>
    <t xml:space="preserve">Implement the Saved Search/Filter Presets service layer. Business flow: User configures a filter set, clicks 'Save as Preset', names it.; Preset appears in a personal quick-access list; if shared, becomes visible to other users in the same role/team scope.. Validations to enforce: Preset name must be unique per user (or per team, for shared presets).. Exception handling: A shared preset references a filter value that becomes invalid (e.g., a deactivated cost center) — preset still loads but the invalid criterion is visually flagged and excluded from the applied filter until corrected..</t>
  </si>
  <si>
    <t xml:space="preserve">ExpenseReportRepository completed (T-668)</t>
  </si>
  <si>
    <t xml:space="preserve">T-670</t>
  </si>
  <si>
    <t xml:space="preserve">Implement Saved Search/Filter Presets REST APIs</t>
  </si>
  <si>
    <t xml:space="preserve">Implement the REST API(s) for Saved Search/Filter Presets: POST /api/v1/users/{id}/search-presets, GET /api/v1/users/{id}/search-presets, DELETE /api/v1/users/{id}/search-presets. Requests must enforce the validations and business rules implemented in the Saved Search/Filter Presets service, and return errors per: A shared preset references a filter value that becomes invalid (e.g., a deactivated cost center) — preset still loads but the invalid criterion is visually flagged and excluded from the applied filter until corrected..</t>
  </si>
  <si>
    <t xml:space="preserve">Saved Search/Filter Presets service completed (T-669)</t>
  </si>
  <si>
    <t xml:space="preserve">T-671</t>
  </si>
  <si>
    <t xml:space="preserve">Write unit tests for Saved Search/Filter Presets service and APIs</t>
  </si>
  <si>
    <t xml:space="preserve">Write unit tests covering the Saved Search/Filter Presets service logic, all validations (Preset name must be unique per user (or per team, for shared presets).), exception paths, and the REST API contract (POST /api/v1/users/{id}/search-presets, GET /api/v1/users/{id}/search-presets, DELETE /api/v1/users/{id}/search-presets).</t>
  </si>
  <si>
    <t xml:space="preserve">Saved Search/Filter Presets APIs completed (T-670)</t>
  </si>
  <si>
    <t xml:space="preserve">T-672</t>
  </si>
  <si>
    <t xml:space="preserve">Build Saved Search/Filter Presets screen/UI component</t>
  </si>
  <si>
    <t xml:space="preserve">Build the Saved Search/Filter Presets screen/UI component. UI behaviour: Dropdown of saved presets above the filter panel; star icon to mark a personal default..</t>
  </si>
  <si>
    <t xml:space="preserve">Backend unit tests passed for Saved Search/Filter Presets (T-671)</t>
  </si>
  <si>
    <t xml:space="preserve">T-673</t>
  </si>
  <si>
    <t xml:space="preserve">Integrate Saved Search/Filter Presets APIs into UI and implement client-side validations</t>
  </si>
  <si>
    <t xml:space="preserve">Integrate POST /api/v1/users/{id}/search-presets, GET /api/v1/users/{id}/search-presets, DELETE /api/v1/users/{id}/search-presets into the Saved Search/Filter Presets screen; mirror the backend validations (Preset name must be unique per user (or per team, for shared presets).) on the client, show loading states, and surface user-facing error messages for: A shared preset references a filter value that becomes invalid (e.g., a deactivated cost center) — preset still loads but the invalid criterion is visually flagged and excluded from the applied filter until corrected..</t>
  </si>
  <si>
    <t xml:space="preserve">Saved Search/Filter Presets UI screen completed (T-672)</t>
  </si>
  <si>
    <t xml:space="preserve">T-674</t>
  </si>
  <si>
    <t xml:space="preserve">Perform UI testing for Saved Search/Filter Presets</t>
  </si>
  <si>
    <t xml:space="preserve">Perform UI testing for the Saved Search/Filter Presets screen: verify it behaves per the UI behaviour spec, all client-side validations trigger correctly, and API errors/loading states display as expected.</t>
  </si>
  <si>
    <t xml:space="preserve">Saved Search/Filter Presets API integration completed (T-673)</t>
  </si>
  <si>
    <t xml:space="preserve">T-675</t>
  </si>
  <si>
    <t xml:space="preserve">Code review, documentation &amp; deployment for Saved Search/Filter Presets</t>
  </si>
  <si>
    <t xml:space="preserve">Peer-review the Saved Search/Filter Presets implementation (entity, repository, service, APIs, UI), update technical documentation, and deploy to the QA environment.</t>
  </si>
  <si>
    <t xml:space="preserve">UI testing passed for Saved Search/Filter Presets (T-674)</t>
  </si>
  <si>
    <t xml:space="preserve">T-676</t>
  </si>
  <si>
    <t xml:space="preserve">EP14 - Role-Based Access Control (RBAC)</t>
  </si>
  <si>
    <t xml:space="preserve">RBAC-S1 - Define permission matrix per role and module</t>
  </si>
  <si>
    <t xml:space="preserve">Sprint 16</t>
  </si>
  <si>
    <t xml:space="preserve">2027-03-21</t>
  </si>
  <si>
    <t xml:space="preserve">- A role cannot be deleted while actively assigned to one or more employees; must be reassigned first
- At least one Administrator role must always exist in the system (last-admin protection)
- Administrator creates or edits a role and assigns a set of granular permissions (e.g., EXPENSE_SUBMIT, EXPE
- Admin can define granular permissions (View/Create/Edit/Delete/Approve) per role for each module (Expense, ...
- Unit tests passed
- UI integrated successfully</t>
  </si>
  <si>
    <t xml:space="preserve">T-677</t>
  </si>
  <si>
    <t xml:space="preserve">role table created (T-676)</t>
  </si>
  <si>
    <t xml:space="preserve">T-678</t>
  </si>
  <si>
    <t xml:space="preserve">Role entity completed (T-677)</t>
  </si>
  <si>
    <t xml:space="preserve">T-679</t>
  </si>
  <si>
    <t xml:space="preserve">RoleRepository completed (T-678)</t>
  </si>
  <si>
    <t xml:space="preserve">T-680</t>
  </si>
  <si>
    <t xml:space="preserve">Role &amp; Permission Configuration service completed (T-679)</t>
  </si>
  <si>
    <t xml:space="preserve">T-681</t>
  </si>
  <si>
    <t xml:space="preserve">Role &amp; Permission Configuration APIs completed (T-680)</t>
  </si>
  <si>
    <t xml:space="preserve">T-682</t>
  </si>
  <si>
    <t xml:space="preserve">Backend unit tests passed for Role &amp; Permission Configuration (T-681)</t>
  </si>
  <si>
    <t xml:space="preserve">T-683</t>
  </si>
  <si>
    <t xml:space="preserve">Role &amp; Permission Configuration UI screen completed (T-682)</t>
  </si>
  <si>
    <t xml:space="preserve">T-684</t>
  </si>
  <si>
    <t xml:space="preserve">Role &amp; Permission Configuration API integration completed (T-683)</t>
  </si>
  <si>
    <t xml:space="preserve">T-685</t>
  </si>
  <si>
    <t xml:space="preserve">UI testing passed for Role &amp; Permission Configuration (T-684)</t>
  </si>
  <si>
    <t xml:space="preserve">T-686</t>
  </si>
  <si>
    <t xml:space="preserve">RBAC-S2 - Assign multiple roles to a single user</t>
  </si>
  <si>
    <t xml:space="preserve">Role &amp; Permission Configuration module completed (RBAC-S1)</t>
  </si>
  <si>
    <t xml:space="preserve">- A role cannot be deleted while actively assigned to one or more employees; must be reassigned first
- At least one Administrator role must always exist in the system (last-admin protection)
- Administrator creates or edits a role and assigns a set of granular permissions (e.g., EXPENSE_SUBMIT, EXPE
- Admin can assign more than one role to a user (e.g., Manager + Finance)
- Unit tests passed
- UI integrated successfully</t>
  </si>
  <si>
    <t xml:space="preserve">T-687</t>
  </si>
  <si>
    <t xml:space="preserve">role table created (T-686)</t>
  </si>
  <si>
    <t xml:space="preserve">T-688</t>
  </si>
  <si>
    <t xml:space="preserve">Role entity completed (T-687)</t>
  </si>
  <si>
    <t xml:space="preserve">T-689</t>
  </si>
  <si>
    <t xml:space="preserve">RoleRepository completed (T-688)</t>
  </si>
  <si>
    <t xml:space="preserve">T-690</t>
  </si>
  <si>
    <t xml:space="preserve">Role &amp; Permission Configuration service completed (T-689)</t>
  </si>
  <si>
    <t xml:space="preserve">T-691</t>
  </si>
  <si>
    <t xml:space="preserve">Role &amp; Permission Configuration APIs completed (T-690)</t>
  </si>
  <si>
    <t xml:space="preserve">T-692</t>
  </si>
  <si>
    <t xml:space="preserve">Backend unit tests passed for Role &amp; Permission Configuration (T-691)</t>
  </si>
  <si>
    <t xml:space="preserve">T-693</t>
  </si>
  <si>
    <t xml:space="preserve">Role &amp; Permission Configuration UI screen completed (T-692)</t>
  </si>
  <si>
    <t xml:space="preserve">T-694</t>
  </si>
  <si>
    <t xml:space="preserve">Role &amp; Permission Configuration API integration completed (T-693)</t>
  </si>
  <si>
    <t xml:space="preserve">T-695</t>
  </si>
  <si>
    <t xml:space="preserve">UI testing passed for Role &amp; Permission Configuration (T-694)</t>
  </si>
  <si>
    <t xml:space="preserve">T-696</t>
  </si>
  <si>
    <t xml:space="preserve">RBAC-S3 - Enforce role-based access control across APIs and UI</t>
  </si>
  <si>
    <t xml:space="preserve">Design permission database table</t>
  </si>
  <si>
    <t xml:space="preserve">Design the `permission` database table to support UMS Integration (JWT Validation &amp; Identity Lookup). Columns: permission_id, code, description. Purpose: Establish and validate 'which employee' for every EMS action via UMS's authentication and identity services, without EMS replicating any employee/user data locally, per FR-1.1.</t>
  </si>
  <si>
    <t xml:space="preserve">Role &amp; Permission Configuration module completed (RBAC-S2)</t>
  </si>
  <si>
    <t xml:space="preserve">- Every request's JWT is validated for signature, expiry, and issuer before any business logic executes
- Every other-party employee_id write is confirmed against UMS's validate endpoint before commit
- Covered in detail under FR-1.1; this entry addresses the integration contract specifically
- Every API endpoint checks the caller's role/permissions before executing the request
- Unit tests passed
- UI integrated successfully</t>
  </si>
  <si>
    <t xml:space="preserve">T-697</t>
  </si>
  <si>
    <t xml:space="preserve">Create Permission entity mapped to permission table</t>
  </si>
  <si>
    <t xml:space="preserve">Create the Permission entity/model class mapped 1:1 to the `permission` table, with fields for permission_id, code, description, required relationships/foreign keys, standard audit columns (created_at, updated_at), and validation annotations on mandatory fields (per: Every request's JWT is validated for signature, expiry, and issuer before any business logic executes.; Every other-party employee_id write is confirmed against UMS's validate endpoint before commit.).</t>
  </si>
  <si>
    <t xml:space="preserve">permission table created (T-696)</t>
  </si>
  <si>
    <t xml:space="preserve">T-698</t>
  </si>
  <si>
    <t xml:space="preserve">Create PermissionRepository with CRUD operations and custom queries</t>
  </si>
  <si>
    <t xml:space="preserve">Create PermissionRepository exposing standard CRUD operations on `permission`, plus custom queries needed for UMS Integration (JWT Validation &amp; Identity Lookup): Covered in detail under FR-1.1; this entry addresses the integration contract specifically.; Contract: JWKS endpoint (JWT signature validation, cached and refreshed per standard rotation practice), POST /ums/v1/employees/batch-lookup, POST /ums/v1/employees/validate, GET /ums/v1/employees/search..</t>
  </si>
  <si>
    <t xml:space="preserve">Permission entity completed (T-697)</t>
  </si>
  <si>
    <t xml:space="preserve">T-699</t>
  </si>
  <si>
    <t xml:space="preserve">PermissionRepository completed (T-698)</t>
  </si>
  <si>
    <t xml:space="preserve">T-700</t>
  </si>
  <si>
    <t xml:space="preserve">UMS Integration (JWT Validation &amp; Identity Lookup) service completed (T-699)</t>
  </si>
  <si>
    <t xml:space="preserve">T-701</t>
  </si>
  <si>
    <t xml:space="preserve">UMS Integration (JWT Validation &amp; Identity Lookup) APIs completed (T-700)</t>
  </si>
  <si>
    <t xml:space="preserve">T-702</t>
  </si>
  <si>
    <t xml:space="preserve">Backend unit tests passed for UMS Integration (JWT Validation &amp; Identity Lookup) (T-701)</t>
  </si>
  <si>
    <t xml:space="preserve">T-703</t>
  </si>
  <si>
    <t xml:space="preserve">UMS Integration (JWT Validation &amp; Identity Lookup) UI screen completed (T-702)</t>
  </si>
  <si>
    <t xml:space="preserve">T-704</t>
  </si>
  <si>
    <t xml:space="preserve">UMS Integration (JWT Validation &amp; Identity Lookup) API integration completed (T-703)</t>
  </si>
  <si>
    <t xml:space="preserve">T-705</t>
  </si>
  <si>
    <t xml:space="preserve">UI testing passed for UMS Integration (JWT Validation &amp; Identity Lookup) (T-704)</t>
  </si>
  <si>
    <t xml:space="preserve">T-706</t>
  </si>
  <si>
    <t xml:space="preserve">RBAC-S4 - Role hierarchy and permission inheritance</t>
  </si>
  <si>
    <t xml:space="preserve">Sprint 17</t>
  </si>
  <si>
    <t xml:space="preserve">2027-04-04</t>
  </si>
  <si>
    <t xml:space="preserve">UMS Integration (JWT Validation &amp; Identity Lookup) module completed (RBAC-S3)</t>
  </si>
  <si>
    <t xml:space="preserve">- A role cannot be deleted while actively assigned to one or more employees; must be reassigned first
- At least one Administrator role must always exist in the system (last-admin protection)
- Administrator creates or edits a role and assigns a set of granular permissions (e.g., EXPENSE_SUBMIT, EXPE
- A role can be configured to inherit all permissions of a lower-level role (e.g., Senior Manager inherits Ma...
- Unit tests passed
- UI integrated successfully</t>
  </si>
  <si>
    <t xml:space="preserve">T-707</t>
  </si>
  <si>
    <t xml:space="preserve">role table created (T-706)</t>
  </si>
  <si>
    <t xml:space="preserve">T-708</t>
  </si>
  <si>
    <t xml:space="preserve">Role entity completed (T-707)</t>
  </si>
  <si>
    <t xml:space="preserve">T-709</t>
  </si>
  <si>
    <t xml:space="preserve">RoleRepository completed (T-708)</t>
  </si>
  <si>
    <t xml:space="preserve">T-710</t>
  </si>
  <si>
    <t xml:space="preserve">Role &amp; Permission Configuration service completed (T-709)</t>
  </si>
  <si>
    <t xml:space="preserve">T-711</t>
  </si>
  <si>
    <t xml:space="preserve">Role &amp; Permission Configuration APIs completed (T-710)</t>
  </si>
  <si>
    <t xml:space="preserve">T-712</t>
  </si>
  <si>
    <t xml:space="preserve">Backend unit tests passed for Role &amp; Permission Configuration (T-711)</t>
  </si>
  <si>
    <t xml:space="preserve">T-713</t>
  </si>
  <si>
    <t xml:space="preserve">Role &amp; Permission Configuration UI screen completed (T-712)</t>
  </si>
  <si>
    <t xml:space="preserve">T-714</t>
  </si>
  <si>
    <t xml:space="preserve">Role &amp; Permission Configuration API integration completed (T-713)</t>
  </si>
  <si>
    <t xml:space="preserve">T-715</t>
  </si>
  <si>
    <t xml:space="preserve">UI testing passed for Role &amp; Permission Configuration (T-714)</t>
  </si>
  <si>
    <t xml:space="preserve">T-716</t>
  </si>
  <si>
    <t xml:space="preserve">RBAC-S5 - Audit log for role and permission changes</t>
  </si>
  <si>
    <t xml:space="preserve">Role &amp; Permission Configuration module completed (RBAC-S4)</t>
  </si>
  <si>
    <t xml:space="preserve">- A role cannot be deleted while actively assigned to one or more employees; must be reassigned first
- At least one Administrator role must always exist in the system (last-admin protection)
- Administrator creates or edits a role and assigns a set of granular permissions (e.g., EXPENSE_SUBMIT, EXPE
- Every change to a role's permissions or a user's role assignment is recorded with who made the change, when...
- Unit tests passed
- UI integrated successfully</t>
  </si>
  <si>
    <t xml:space="preserve">T-717</t>
  </si>
  <si>
    <t xml:space="preserve">role table created (T-716)</t>
  </si>
  <si>
    <t xml:space="preserve">T-718</t>
  </si>
  <si>
    <t xml:space="preserve">Role entity completed (T-717)</t>
  </si>
  <si>
    <t xml:space="preserve">T-719</t>
  </si>
  <si>
    <t xml:space="preserve">RoleRepository completed (T-718)</t>
  </si>
  <si>
    <t xml:space="preserve">T-720</t>
  </si>
  <si>
    <t xml:space="preserve">Role &amp; Permission Configuration service completed (T-719)</t>
  </si>
  <si>
    <t xml:space="preserve">T-721</t>
  </si>
  <si>
    <t xml:space="preserve">Role &amp; Permission Configuration APIs completed (T-720)</t>
  </si>
  <si>
    <t xml:space="preserve">T-722</t>
  </si>
  <si>
    <t xml:space="preserve">Backend unit tests passed for Role &amp; Permission Configuration (T-721)</t>
  </si>
  <si>
    <t xml:space="preserve">T-723</t>
  </si>
  <si>
    <t xml:space="preserve">Role &amp; Permission Configuration UI screen completed (T-722)</t>
  </si>
  <si>
    <t xml:space="preserve">T-724</t>
  </si>
  <si>
    <t xml:space="preserve">Role &amp; Permission Configuration API integration completed (T-723)</t>
  </si>
  <si>
    <t xml:space="preserve">T-725</t>
  </si>
  <si>
    <t xml:space="preserve">UI testing passed for Role &amp; Permission Configuration (T-724)</t>
  </si>
  <si>
    <t xml:space="preserve">T-726</t>
  </si>
  <si>
    <t xml:space="preserve">RBAC-S6 - Admin UI for managing roles and permissions matrix</t>
  </si>
  <si>
    <t xml:space="preserve">Role &amp; Permission Configuration module completed (RBAC-S5)</t>
  </si>
  <si>
    <t xml:space="preserve">- A role cannot be deleted while actively assigned to one or more employees; must be reassigned first
- At least one Administrator role must always exist in the system (last-admin protection)
- Administrator creates or edits a role and assigns a set of granular permissions (e.g., EXPENSE_SUBMIT, EXPE
- Admin can view and edit the full permission matrix (roles x modules x actions) in a single screen
- Unit tests passed
- UI integrated successfully</t>
  </si>
  <si>
    <t xml:space="preserve">T-727</t>
  </si>
  <si>
    <t xml:space="preserve">role table created (T-726)</t>
  </si>
  <si>
    <t xml:space="preserve">T-728</t>
  </si>
  <si>
    <t xml:space="preserve">Role entity completed (T-727)</t>
  </si>
  <si>
    <t xml:space="preserve">T-729</t>
  </si>
  <si>
    <t xml:space="preserve">RoleRepository completed (T-728)</t>
  </si>
  <si>
    <t xml:space="preserve">T-730</t>
  </si>
  <si>
    <t xml:space="preserve">Role &amp; Permission Configuration service completed (T-729)</t>
  </si>
  <si>
    <t xml:space="preserve">T-731</t>
  </si>
  <si>
    <t xml:space="preserve">Role &amp; Permission Configuration APIs completed (T-730)</t>
  </si>
  <si>
    <t xml:space="preserve">T-732</t>
  </si>
  <si>
    <t xml:space="preserve">Backend unit tests passed for Role &amp; Permission Configuration (T-731)</t>
  </si>
  <si>
    <t xml:space="preserve">T-733</t>
  </si>
  <si>
    <t xml:space="preserve">Role &amp; Permission Configuration UI screen completed (T-732)</t>
  </si>
  <si>
    <t xml:space="preserve">T-734</t>
  </si>
  <si>
    <t xml:space="preserve">Role &amp; Permission Configuration API integration completed (T-733)</t>
  </si>
  <si>
    <t xml:space="preserve">T-735</t>
  </si>
  <si>
    <t xml:space="preserve">UI testing passed for Role &amp; Permission Configuration (T-734)</t>
  </si>
  <si>
    <t xml:space="preserve">TOTAL ESTIMATED HOURS</t>
  </si>
  <si>
    <t xml:space="preserve">Effort by Category — For Task Assignment Planning</t>
  </si>
  <si>
    <t xml:space="preserve">Live counts/hours by task category, pulled from the Project Tracker. Use this to plan who takes which category of work once the team is assigned.</t>
  </si>
  <si>
    <t xml:space="preserve">Total Tasks</t>
  </si>
  <si>
    <t xml:space="preserve">In Progress</t>
  </si>
  <si>
    <t xml:space="preserve">Completed</t>
  </si>
  <si>
    <t xml:space="preserve">Blocked</t>
  </si>
  <si>
    <t xml:space="preserve">Total Est. Hours</t>
  </si>
  <si>
    <t xml:space="preserve">TOTAL</t>
  </si>
  <si>
    <t xml:space="preserve">Tip: filter the Project Tracker sheet by Category and assign the Assignee column once your team is confirmed.</t>
  </si>
  <si>
    <t xml:space="preserve">Epic Overview &amp; Dependencies</t>
  </si>
  <si>
    <t xml:space="preserve">All 14 Epics (13 original + RBAC) with priority, sprint range, dependencies and live hour totals from the Project Tracker.</t>
  </si>
  <si>
    <t xml:space="preserve">Epic ID</t>
  </si>
  <si>
    <t xml:space="preserve">Epic Name</t>
  </si>
  <si>
    <t xml:space="preserve">Depends On</t>
  </si>
  <si>
    <t xml:space="preserve">Sprint Range</t>
  </si>
  <si>
    <t xml:space="preserve">Estimated Hours</t>
  </si>
  <si>
    <t xml:space="preserve">% of Total Hours</t>
  </si>
  <si>
    <t xml:space="preserve">EP01</t>
  </si>
  <si>
    <t xml:space="preserve">Expense Management System Foundation &amp; Administration</t>
  </si>
  <si>
    <t xml:space="preserve">None (first Epic)</t>
  </si>
  <si>
    <t xml:space="preserve">Sprint 1-2</t>
  </si>
  <si>
    <t xml:space="preserve">EP02</t>
  </si>
  <si>
    <t xml:space="preserve">Expense Report &amp; Line Item Management</t>
  </si>
  <si>
    <t xml:space="preserve">Sprint 2-4</t>
  </si>
  <si>
    <t xml:space="preserve">EP09</t>
  </si>
  <si>
    <t xml:space="preserve">Cost Center &amp; Expense Allocation Management</t>
  </si>
  <si>
    <t xml:space="preserve">Sprint 4-5</t>
  </si>
  <si>
    <t xml:space="preserve">EP03</t>
  </si>
  <si>
    <t xml:space="preserve">Receipt Management &amp; OCR Processing</t>
  </si>
  <si>
    <t xml:space="preserve">EP05</t>
  </si>
  <si>
    <t xml:space="preserve">Expense Policy &amp; Compliance Management</t>
  </si>
  <si>
    <t xml:space="preserve">EP01, EP02</t>
  </si>
  <si>
    <t xml:space="preserve">EP04</t>
  </si>
  <si>
    <t xml:space="preserve">Cash Advance Management</t>
  </si>
  <si>
    <t xml:space="preserve">EP06</t>
  </si>
  <si>
    <t xml:space="preserve">Expense Approval Workflow Management</t>
  </si>
  <si>
    <t xml:space="preserve">EP02, EP05</t>
  </si>
  <si>
    <t xml:space="preserve">Sprint 8-9</t>
  </si>
  <si>
    <t xml:space="preserve">EP07</t>
  </si>
  <si>
    <t xml:space="preserve">Finance Verification &amp; Reimbursement Management</t>
  </si>
  <si>
    <t xml:space="preserve">Sprint 9-10</t>
  </si>
  <si>
    <t xml:space="preserve">EP08</t>
  </si>
  <si>
    <t xml:space="preserve">Client Billable Expense &amp; Invoice Integration</t>
  </si>
  <si>
    <t xml:space="preserve">EP07, EP09</t>
  </si>
  <si>
    <t xml:space="preserve">Sprint 10-11</t>
  </si>
  <si>
    <t xml:space="preserve">EP13</t>
  </si>
  <si>
    <t xml:space="preserve">System Integrations</t>
  </si>
  <si>
    <t xml:space="preserve">EP01, EP02, EP03, EP04, EP08, EP09</t>
  </si>
  <si>
    <t xml:space="preserve">Sprint 11-12</t>
  </si>
  <si>
    <t xml:space="preserve">EP11</t>
  </si>
  <si>
    <t xml:space="preserve">Notifications, Audit Logs &amp; Activity Tracking</t>
  </si>
  <si>
    <t xml:space="preserve">EP06, EP07</t>
  </si>
  <si>
    <t xml:space="preserve">Sprint 12-13</t>
  </si>
  <si>
    <t xml:space="preserve">EP10</t>
  </si>
  <si>
    <t xml:space="preserve">Dashboard, Reporting &amp; Analytics</t>
  </si>
  <si>
    <t xml:space="preserve">EP02, EP06, EP07, EP08, EP09</t>
  </si>
  <si>
    <t xml:space="preserve">Sprint 13-14</t>
  </si>
  <si>
    <t xml:space="preserve">EP12</t>
  </si>
  <si>
    <t xml:space="preserve">Search, Filters &amp; Expense Tracking</t>
  </si>
  <si>
    <t xml:space="preserve">EP02, EP04, EP06, EP07, EP08</t>
  </si>
  <si>
    <t xml:space="preserve">Sprint 14-15</t>
  </si>
  <si>
    <t xml:space="preserve">EP14</t>
  </si>
  <si>
    <t xml:space="preserve">Role-Based Access Control (RBAC)</t>
  </si>
  <si>
    <t xml:space="preserve">Sprint 16-17</t>
  </si>
  <si>
    <t xml:space="preserve">Sprint-by-Sprint Progress</t>
  </si>
  <si>
    <t xml:space="preserve">Live totals pulled from the Project Tracker sheet — update Status there and these numbers refresh automatically.</t>
  </si>
  <si>
    <t xml:space="preserve">Not Started / Blocked</t>
  </si>
</sst>
</file>

<file path=xl/styles.xml><?xml version="1.0" encoding="utf-8"?>
<styleSheet xmlns="http://schemas.openxmlformats.org/spreadsheetml/2006/main">
  <numFmts count="4">
    <numFmt numFmtId="164" formatCode="General"/>
    <numFmt numFmtId="165" formatCode="dd\-mmm\-yyyy"/>
    <numFmt numFmtId="166" formatCode="General"/>
    <numFmt numFmtId="167" formatCode="0.0%"/>
  </numFmts>
  <fonts count="9">
    <font>
      <sz val="11"/>
      <color theme="1"/>
      <name val="Calibri"/>
      <family val="2"/>
      <charset val="1"/>
    </font>
    <font>
      <sz val="10"/>
      <name val="Arial"/>
      <family val="0"/>
    </font>
    <font>
      <sz val="10"/>
      <name val="Arial"/>
      <family val="0"/>
    </font>
    <font>
      <sz val="10"/>
      <name val="Arial"/>
      <family val="0"/>
    </font>
    <font>
      <b val="true"/>
      <sz val="16"/>
      <color rgb="FF1F3864"/>
      <name val="Arial"/>
      <family val="0"/>
      <charset val="1"/>
    </font>
    <font>
      <i val="true"/>
      <sz val="10"/>
      <color rgb="FF595959"/>
      <name val="Arial"/>
      <family val="0"/>
      <charset val="1"/>
    </font>
    <font>
      <b val="true"/>
      <sz val="10"/>
      <color rgb="FFFFFFFF"/>
      <name val="Arial"/>
      <family val="0"/>
      <charset val="1"/>
    </font>
    <font>
      <sz val="9"/>
      <name val="Arial"/>
      <family val="0"/>
      <charset val="1"/>
    </font>
    <font>
      <b val="true"/>
      <sz val="9"/>
      <name val="Arial"/>
      <family val="0"/>
      <charset val="1"/>
    </font>
  </fonts>
  <fills count="5">
    <fill>
      <patternFill patternType="none"/>
    </fill>
    <fill>
      <patternFill patternType="gray125"/>
    </fill>
    <fill>
      <patternFill patternType="solid">
        <fgColor rgb="FF1F3864"/>
        <bgColor rgb="FF333333"/>
      </patternFill>
    </fill>
    <fill>
      <patternFill patternType="solid">
        <fgColor rgb="FFF2F2F2"/>
        <bgColor rgb="FFFFFFFF"/>
      </patternFill>
    </fill>
    <fill>
      <patternFill patternType="solid">
        <fgColor rgb="FFD9E2F3"/>
        <bgColor rgb="FFBDD7EE"/>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left" vertical="top" textRotation="0" wrapText="true" indent="0" shrinkToFit="false"/>
      <protection locked="true" hidden="false"/>
    </xf>
    <xf numFmtId="165" fontId="7" fillId="0" borderId="1" xfId="0" applyFont="true" applyBorder="true" applyAlignment="true" applyProtection="false">
      <alignment horizontal="center" vertical="center" textRotation="0" wrapText="false" indent="0" shrinkToFit="false"/>
      <protection locked="true" hidden="false"/>
    </xf>
    <xf numFmtId="164" fontId="7" fillId="3" borderId="1" xfId="0" applyFont="true" applyBorder="true" applyAlignment="true" applyProtection="false">
      <alignment horizontal="center" vertical="center" textRotation="0" wrapText="false" indent="0" shrinkToFit="false"/>
      <protection locked="true" hidden="false"/>
    </xf>
    <xf numFmtId="164" fontId="7" fillId="3" borderId="1" xfId="0" applyFont="true" applyBorder="true" applyAlignment="true" applyProtection="false">
      <alignment horizontal="left" vertical="top" textRotation="0" wrapText="true" indent="0" shrinkToFit="false"/>
      <protection locked="true" hidden="false"/>
    </xf>
    <xf numFmtId="165" fontId="7" fillId="3" borderId="1" xfId="0" applyFont="true" applyBorder="true" applyAlignment="true" applyProtection="false">
      <alignment horizontal="center" vertical="center" textRotation="0" wrapText="fals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8" fillId="4" borderId="1" xfId="0" applyFont="true" applyBorder="true" applyAlignment="true" applyProtection="false">
      <alignment horizontal="right" vertical="bottom" textRotation="0" wrapText="false" indent="0" shrinkToFit="false"/>
      <protection locked="true" hidden="false"/>
    </xf>
    <xf numFmtId="166" fontId="8" fillId="4" borderId="1" xfId="0" applyFont="true" applyBorder="true" applyAlignment="true" applyProtection="false">
      <alignment horizontal="center" vertical="center" textRotation="0" wrapText="false" indent="0" shrinkToFit="false"/>
      <protection locked="true" hidden="false"/>
    </xf>
    <xf numFmtId="167" fontId="7" fillId="0" borderId="1" xfId="0" applyFont="true" applyBorder="true" applyAlignment="true" applyProtection="false">
      <alignment horizontal="center" vertical="center" textRotation="0" wrapText="false" indent="0" shrinkToFit="false"/>
      <protection locked="true" hidden="false"/>
    </xf>
    <xf numFmtId="167" fontId="7" fillId="3" borderId="1" xfId="0" applyFont="true" applyBorder="true" applyAlignment="true" applyProtection="false">
      <alignment horizontal="center" vertical="center" textRotation="0" wrapText="false" indent="0" shrinkToFit="false"/>
      <protection locked="true" hidden="false"/>
    </xf>
    <xf numFmtId="167" fontId="8" fillId="4" borderId="1" xfId="0" applyFont="true" applyBorder="tru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7">
    <dxf>
      <fill>
        <patternFill patternType="solid">
          <fgColor rgb="FF1F3864"/>
          <bgColor rgb="FF000000"/>
        </patternFill>
      </fill>
    </dxf>
    <dxf>
      <fill>
        <patternFill patternType="solid">
          <fgColor rgb="FFF2F2F2"/>
          <bgColor rgb="FF000000"/>
        </patternFill>
      </fill>
    </dxf>
    <dxf>
      <fill>
        <patternFill patternType="solid">
          <bgColor rgb="FF000000"/>
        </patternFill>
      </fill>
    </dxf>
    <dxf>
      <fill>
        <patternFill patternType="solid">
          <fgColor rgb="FFFFFFFF"/>
          <bgColor rgb="FF000000"/>
        </patternFill>
      </fill>
    </dxf>
    <dxf>
      <fill>
        <patternFill patternType="solid">
          <fgColor rgb="FFBDD7EE"/>
          <bgColor rgb="FF000000"/>
        </patternFill>
      </fill>
    </dxf>
    <dxf>
      <fill>
        <patternFill patternType="solid">
          <fgColor rgb="FFC6E0B4"/>
          <bgColor rgb="FF000000"/>
        </patternFill>
      </fill>
    </dxf>
    <dxf>
      <fill>
        <patternFill patternType="solid">
          <fgColor rgb="FFD9C2E9"/>
          <bgColor rgb="FF000000"/>
        </patternFill>
      </fill>
    </dxf>
    <dxf>
      <fill>
        <patternFill patternType="solid">
          <fgColor rgb="FFD9E2F3"/>
          <bgColor rgb="FF000000"/>
        </patternFill>
      </fill>
    </dxf>
    <dxf>
      <fill>
        <patternFill patternType="solid">
          <fgColor rgb="FFFFE699"/>
          <bgColor rgb="FF000000"/>
        </patternFill>
      </fill>
    </dxf>
    <dxf>
      <fill>
        <patternFill patternType="solid">
          <fgColor rgb="FFF8CBAD"/>
          <bgColor rgb="FF000000"/>
        </patternFill>
      </fill>
    </dxf>
    <dxf>
      <fill>
        <patternFill>
          <bgColor rgb="FFC6E0B4"/>
        </patternFill>
      </fill>
    </dxf>
    <dxf>
      <fill>
        <patternFill>
          <bgColor rgb="FFBDD7EE"/>
        </patternFill>
      </fill>
    </dxf>
    <dxf>
      <fill>
        <patternFill>
          <bgColor rgb="FFF8CBAD"/>
        </patternFill>
      </fill>
    </dxf>
    <dxf>
      <fill>
        <patternFill>
          <bgColor rgb="FFF2F2F2"/>
        </patternFill>
      </fill>
    </dxf>
    <dxf>
      <fill>
        <patternFill>
          <bgColor rgb="FFFFE699"/>
        </patternFill>
      </fill>
    </dxf>
    <dxf>
      <fill>
        <patternFill>
          <bgColor rgb="FFD9E2F3"/>
        </patternFill>
      </fill>
    </dxf>
    <dxf>
      <fill>
        <patternFill>
          <bgColor rgb="FFD9C2E9"/>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D9E2F3"/>
      <rgbColor rgb="FF660066"/>
      <rgbColor rgb="FFFF8080"/>
      <rgbColor rgb="FF0066CC"/>
      <rgbColor rgb="FFD9C2E9"/>
      <rgbColor rgb="FF000080"/>
      <rgbColor rgb="FFFF00FF"/>
      <rgbColor rgb="FFFFFF00"/>
      <rgbColor rgb="FF00FFFF"/>
      <rgbColor rgb="FF800080"/>
      <rgbColor rgb="FF800000"/>
      <rgbColor rgb="FF008080"/>
      <rgbColor rgb="FF0000FF"/>
      <rgbColor rgb="FF00CCFF"/>
      <rgbColor rgb="FFCCFFFF"/>
      <rgbColor rgb="FFC6E0B4"/>
      <rgbColor rgb="FFFFE699"/>
      <rgbColor rgb="FFBDD7EE"/>
      <rgbColor rgb="FFFF99CC"/>
      <rgbColor rgb="FFCC99FF"/>
      <rgbColor rgb="FFF8CBAD"/>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74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30"/>
    <col collapsed="false" customWidth="true" hidden="false" outlineLevel="0" max="4" min="3" style="0" width="34"/>
    <col collapsed="false" customWidth="true" hidden="false" outlineLevel="0" max="5" min="5" style="0" width="60"/>
    <col collapsed="false" customWidth="true" hidden="false" outlineLevel="0" max="6" min="6" style="0" width="13"/>
    <col collapsed="false" customWidth="true" hidden="false" outlineLevel="0" max="7" min="7" style="0" width="10"/>
    <col collapsed="false" customWidth="true" hidden="false" outlineLevel="0" max="8" min="8" style="0" width="12"/>
    <col collapsed="false" customWidth="true" hidden="false" outlineLevel="0" max="9" min="9" style="0" width="30"/>
    <col collapsed="false" customWidth="true" hidden="false" outlineLevel="0" max="10" min="10" style="0" width="10"/>
    <col collapsed="false" customWidth="true" hidden="false" outlineLevel="0" max="11" min="11" style="0" width="11"/>
    <col collapsed="false" customWidth="true" hidden="false" outlineLevel="0" max="12" min="12" style="0" width="9"/>
    <col collapsed="false" customWidth="true" hidden="false" outlineLevel="0" max="13" min="13" style="0" width="11"/>
    <col collapsed="false" customWidth="true" hidden="false" outlineLevel="0" max="14" min="14" style="0" width="13"/>
    <col collapsed="false" customWidth="true" hidden="false" outlineLevel="0" max="15" min="15" style="0" width="40"/>
  </cols>
  <sheetData>
    <row r="1" customFormat="false" ht="25.5" hidden="false" customHeight="true" outlineLevel="0" collapsed="false">
      <c r="A1" s="1" t="s">
        <v>0</v>
      </c>
      <c r="B1" s="1"/>
      <c r="C1" s="1"/>
      <c r="D1" s="1"/>
      <c r="E1" s="1"/>
      <c r="F1" s="1"/>
      <c r="G1" s="1"/>
      <c r="H1" s="1"/>
      <c r="I1" s="1"/>
      <c r="J1" s="1"/>
      <c r="K1" s="1"/>
      <c r="L1" s="1"/>
      <c r="M1" s="1"/>
      <c r="N1" s="1"/>
      <c r="O1" s="1"/>
    </row>
    <row r="2" customFormat="false" ht="18" hidden="false" customHeight="true" outlineLevel="0" collapsed="false">
      <c r="A2" s="2" t="s">
        <v>1</v>
      </c>
      <c r="B2" s="2"/>
      <c r="C2" s="2"/>
      <c r="D2" s="2"/>
      <c r="E2" s="2"/>
      <c r="F2" s="2"/>
      <c r="G2" s="2"/>
      <c r="H2" s="2"/>
      <c r="I2" s="2"/>
      <c r="J2" s="2"/>
      <c r="K2" s="2"/>
      <c r="L2" s="2"/>
      <c r="M2" s="2"/>
      <c r="N2" s="2"/>
      <c r="O2" s="2"/>
    </row>
    <row r="4" customFormat="false" ht="31.5" hidden="false" customHeight="true" outlineLevel="0" collapsed="false">
      <c r="A4" s="3" t="s">
        <v>2</v>
      </c>
      <c r="B4" s="3" t="s">
        <v>3</v>
      </c>
      <c r="C4" s="3" t="s">
        <v>4</v>
      </c>
      <c r="D4" s="3" t="s">
        <v>5</v>
      </c>
      <c r="E4" s="3" t="s">
        <v>6</v>
      </c>
      <c r="F4" s="3" t="s">
        <v>7</v>
      </c>
      <c r="G4" s="3" t="s">
        <v>8</v>
      </c>
      <c r="H4" s="3" t="s">
        <v>9</v>
      </c>
      <c r="I4" s="3" t="s">
        <v>10</v>
      </c>
      <c r="J4" s="3" t="s">
        <v>11</v>
      </c>
      <c r="K4" s="3" t="s">
        <v>12</v>
      </c>
      <c r="L4" s="3" t="s">
        <v>13</v>
      </c>
      <c r="M4" s="3" t="s">
        <v>14</v>
      </c>
      <c r="N4" s="3" t="s">
        <v>15</v>
      </c>
      <c r="O4" s="3" t="s">
        <v>16</v>
      </c>
    </row>
    <row r="5" customFormat="false" ht="60" hidden="false" customHeight="true" outlineLevel="0" collapsed="false">
      <c r="A5" s="4" t="s">
        <v>17</v>
      </c>
      <c r="B5" s="5" t="s">
        <v>18</v>
      </c>
      <c r="C5" s="5" t="s">
        <v>19</v>
      </c>
      <c r="D5" s="5" t="s">
        <v>20</v>
      </c>
      <c r="E5" s="5" t="s">
        <v>21</v>
      </c>
      <c r="F5" s="4" t="s">
        <v>22</v>
      </c>
      <c r="G5" s="4" t="s">
        <v>23</v>
      </c>
      <c r="H5" s="6" t="s">
        <v>24</v>
      </c>
      <c r="I5" s="5" t="s">
        <v>25</v>
      </c>
      <c r="J5" s="4" t="n">
        <v>0.86</v>
      </c>
      <c r="K5" s="4"/>
      <c r="L5" s="4" t="s">
        <v>26</v>
      </c>
      <c r="M5" s="5"/>
      <c r="N5" s="4" t="s">
        <v>27</v>
      </c>
      <c r="O5" s="5" t="s">
        <v>28</v>
      </c>
    </row>
    <row r="6" customFormat="false" ht="60" hidden="false" customHeight="true" outlineLevel="0" collapsed="false">
      <c r="A6" s="7" t="s">
        <v>29</v>
      </c>
      <c r="B6" s="8" t="s">
        <v>18</v>
      </c>
      <c r="C6" s="8" t="s">
        <v>19</v>
      </c>
      <c r="D6" s="8" t="s">
        <v>30</v>
      </c>
      <c r="E6" s="8" t="s">
        <v>31</v>
      </c>
      <c r="F6" s="7" t="s">
        <v>22</v>
      </c>
      <c r="G6" s="7" t="s">
        <v>23</v>
      </c>
      <c r="H6" s="9" t="s">
        <v>24</v>
      </c>
      <c r="I6" s="8" t="s">
        <v>32</v>
      </c>
      <c r="J6" s="7" t="n">
        <v>0.97</v>
      </c>
      <c r="K6" s="7"/>
      <c r="L6" s="7" t="s">
        <v>26</v>
      </c>
      <c r="M6" s="8"/>
      <c r="N6" s="7" t="s">
        <v>27</v>
      </c>
      <c r="O6" s="8" t="s">
        <v>28</v>
      </c>
    </row>
    <row r="7" customFormat="false" ht="60" hidden="false" customHeight="true" outlineLevel="0" collapsed="false">
      <c r="A7" s="4" t="s">
        <v>33</v>
      </c>
      <c r="B7" s="5" t="s">
        <v>18</v>
      </c>
      <c r="C7" s="5" t="s">
        <v>19</v>
      </c>
      <c r="D7" s="5" t="s">
        <v>34</v>
      </c>
      <c r="E7" s="5" t="s">
        <v>35</v>
      </c>
      <c r="F7" s="4" t="s">
        <v>36</v>
      </c>
      <c r="G7" s="4" t="s">
        <v>23</v>
      </c>
      <c r="H7" s="6" t="s">
        <v>24</v>
      </c>
      <c r="I7" s="5" t="s">
        <v>37</v>
      </c>
      <c r="J7" s="4" t="n">
        <v>0.97</v>
      </c>
      <c r="K7" s="4"/>
      <c r="L7" s="4" t="s">
        <v>26</v>
      </c>
      <c r="M7" s="5"/>
      <c r="N7" s="4" t="s">
        <v>27</v>
      </c>
      <c r="O7" s="5" t="s">
        <v>28</v>
      </c>
    </row>
    <row r="8" customFormat="false" ht="60" hidden="false" customHeight="true" outlineLevel="0" collapsed="false">
      <c r="A8" s="7" t="s">
        <v>38</v>
      </c>
      <c r="B8" s="8" t="s">
        <v>18</v>
      </c>
      <c r="C8" s="8" t="s">
        <v>19</v>
      </c>
      <c r="D8" s="8" t="s">
        <v>39</v>
      </c>
      <c r="E8" s="8" t="s">
        <v>40</v>
      </c>
      <c r="F8" s="7" t="s">
        <v>36</v>
      </c>
      <c r="G8" s="7" t="s">
        <v>23</v>
      </c>
      <c r="H8" s="9" t="s">
        <v>24</v>
      </c>
      <c r="I8" s="8" t="s">
        <v>41</v>
      </c>
      <c r="J8" s="7" t="n">
        <v>0.76</v>
      </c>
      <c r="K8" s="7"/>
      <c r="L8" s="7" t="s">
        <v>26</v>
      </c>
      <c r="M8" s="8"/>
      <c r="N8" s="7" t="s">
        <v>27</v>
      </c>
      <c r="O8" s="8" t="s">
        <v>28</v>
      </c>
    </row>
    <row r="9" customFormat="false" ht="60" hidden="false" customHeight="true" outlineLevel="0" collapsed="false">
      <c r="A9" s="4" t="s">
        <v>42</v>
      </c>
      <c r="B9" s="5" t="s">
        <v>18</v>
      </c>
      <c r="C9" s="5" t="s">
        <v>19</v>
      </c>
      <c r="D9" s="5" t="s">
        <v>43</v>
      </c>
      <c r="E9" s="5" t="s">
        <v>44</v>
      </c>
      <c r="F9" s="4" t="s">
        <v>36</v>
      </c>
      <c r="G9" s="4" t="s">
        <v>23</v>
      </c>
      <c r="H9" s="6" t="s">
        <v>24</v>
      </c>
      <c r="I9" s="5" t="s">
        <v>45</v>
      </c>
      <c r="J9" s="4" t="n">
        <v>1.73</v>
      </c>
      <c r="K9" s="4"/>
      <c r="L9" s="4" t="s">
        <v>26</v>
      </c>
      <c r="M9" s="5"/>
      <c r="N9" s="4" t="s">
        <v>27</v>
      </c>
      <c r="O9" s="5" t="s">
        <v>28</v>
      </c>
    </row>
    <row r="10" customFormat="false" ht="60" hidden="false" customHeight="true" outlineLevel="0" collapsed="false">
      <c r="A10" s="7" t="s">
        <v>46</v>
      </c>
      <c r="B10" s="8" t="s">
        <v>18</v>
      </c>
      <c r="C10" s="8" t="s">
        <v>19</v>
      </c>
      <c r="D10" s="8" t="s">
        <v>47</v>
      </c>
      <c r="E10" s="8" t="s">
        <v>48</v>
      </c>
      <c r="F10" s="7" t="s">
        <v>36</v>
      </c>
      <c r="G10" s="7" t="s">
        <v>23</v>
      </c>
      <c r="H10" s="9" t="s">
        <v>24</v>
      </c>
      <c r="I10" s="8" t="s">
        <v>49</v>
      </c>
      <c r="J10" s="7" t="n">
        <v>1.3</v>
      </c>
      <c r="K10" s="7"/>
      <c r="L10" s="7" t="s">
        <v>26</v>
      </c>
      <c r="M10" s="8"/>
      <c r="N10" s="7" t="s">
        <v>27</v>
      </c>
      <c r="O10" s="8" t="s">
        <v>28</v>
      </c>
    </row>
    <row r="11" customFormat="false" ht="60" hidden="false" customHeight="true" outlineLevel="0" collapsed="false">
      <c r="A11" s="4" t="s">
        <v>50</v>
      </c>
      <c r="B11" s="5" t="s">
        <v>18</v>
      </c>
      <c r="C11" s="5" t="s">
        <v>19</v>
      </c>
      <c r="D11" s="5" t="s">
        <v>51</v>
      </c>
      <c r="E11" s="5" t="s">
        <v>52</v>
      </c>
      <c r="F11" s="4" t="s">
        <v>53</v>
      </c>
      <c r="G11" s="4" t="s">
        <v>23</v>
      </c>
      <c r="H11" s="6" t="s">
        <v>24</v>
      </c>
      <c r="I11" s="5" t="s">
        <v>54</v>
      </c>
      <c r="J11" s="4" t="n">
        <v>1.51</v>
      </c>
      <c r="K11" s="4"/>
      <c r="L11" s="4" t="s">
        <v>26</v>
      </c>
      <c r="M11" s="5"/>
      <c r="N11" s="4" t="s">
        <v>27</v>
      </c>
      <c r="O11" s="5" t="s">
        <v>28</v>
      </c>
    </row>
    <row r="12" customFormat="false" ht="60" hidden="false" customHeight="true" outlineLevel="0" collapsed="false">
      <c r="A12" s="7" t="s">
        <v>55</v>
      </c>
      <c r="B12" s="8" t="s">
        <v>18</v>
      </c>
      <c r="C12" s="8" t="s">
        <v>19</v>
      </c>
      <c r="D12" s="8" t="s">
        <v>56</v>
      </c>
      <c r="E12" s="8" t="s">
        <v>57</v>
      </c>
      <c r="F12" s="7" t="s">
        <v>58</v>
      </c>
      <c r="G12" s="7" t="s">
        <v>23</v>
      </c>
      <c r="H12" s="9" t="s">
        <v>24</v>
      </c>
      <c r="I12" s="8" t="s">
        <v>59</v>
      </c>
      <c r="J12" s="7" t="n">
        <v>0.86</v>
      </c>
      <c r="K12" s="7"/>
      <c r="L12" s="7" t="s">
        <v>26</v>
      </c>
      <c r="M12" s="8"/>
      <c r="N12" s="7" t="s">
        <v>27</v>
      </c>
      <c r="O12" s="8" t="s">
        <v>28</v>
      </c>
    </row>
    <row r="13" customFormat="false" ht="60" hidden="false" customHeight="true" outlineLevel="0" collapsed="false">
      <c r="A13" s="4" t="s">
        <v>60</v>
      </c>
      <c r="B13" s="5" t="s">
        <v>18</v>
      </c>
      <c r="C13" s="5" t="s">
        <v>19</v>
      </c>
      <c r="D13" s="5" t="s">
        <v>61</v>
      </c>
      <c r="E13" s="5" t="s">
        <v>62</v>
      </c>
      <c r="F13" s="4" t="s">
        <v>36</v>
      </c>
      <c r="G13" s="4" t="s">
        <v>23</v>
      </c>
      <c r="H13" s="6" t="s">
        <v>24</v>
      </c>
      <c r="I13" s="5" t="s">
        <v>63</v>
      </c>
      <c r="J13" s="4" t="n">
        <v>0.65</v>
      </c>
      <c r="K13" s="4"/>
      <c r="L13" s="4" t="s">
        <v>26</v>
      </c>
      <c r="M13" s="5"/>
      <c r="N13" s="4" t="s">
        <v>27</v>
      </c>
      <c r="O13" s="5" t="s">
        <v>28</v>
      </c>
    </row>
    <row r="14" customFormat="false" ht="60" hidden="false" customHeight="true" outlineLevel="0" collapsed="false">
      <c r="A14" s="7" t="s">
        <v>64</v>
      </c>
      <c r="B14" s="8" t="s">
        <v>18</v>
      </c>
      <c r="C14" s="8" t="s">
        <v>19</v>
      </c>
      <c r="D14" s="8" t="s">
        <v>65</v>
      </c>
      <c r="E14" s="8" t="s">
        <v>66</v>
      </c>
      <c r="F14" s="7" t="s">
        <v>67</v>
      </c>
      <c r="G14" s="7" t="s">
        <v>23</v>
      </c>
      <c r="H14" s="9" t="s">
        <v>24</v>
      </c>
      <c r="I14" s="8" t="s">
        <v>68</v>
      </c>
      <c r="J14" s="7" t="n">
        <v>0.54</v>
      </c>
      <c r="K14" s="7"/>
      <c r="L14" s="7" t="s">
        <v>26</v>
      </c>
      <c r="M14" s="8"/>
      <c r="N14" s="7" t="s">
        <v>27</v>
      </c>
      <c r="O14" s="8" t="s">
        <v>28</v>
      </c>
    </row>
    <row r="15" customFormat="false" ht="60" hidden="false" customHeight="true" outlineLevel="0" collapsed="false">
      <c r="A15" s="4" t="s">
        <v>69</v>
      </c>
      <c r="B15" s="5" t="s">
        <v>18</v>
      </c>
      <c r="C15" s="5" t="s">
        <v>19</v>
      </c>
      <c r="D15" s="5" t="s">
        <v>70</v>
      </c>
      <c r="E15" s="5" t="s">
        <v>71</v>
      </c>
      <c r="F15" s="4" t="s">
        <v>67</v>
      </c>
      <c r="G15" s="4" t="s">
        <v>23</v>
      </c>
      <c r="H15" s="6" t="s">
        <v>24</v>
      </c>
      <c r="I15" s="5" t="s">
        <v>72</v>
      </c>
      <c r="J15" s="4" t="n">
        <v>0.43</v>
      </c>
      <c r="K15" s="4"/>
      <c r="L15" s="4" t="s">
        <v>26</v>
      </c>
      <c r="M15" s="5"/>
      <c r="N15" s="4" t="s">
        <v>27</v>
      </c>
      <c r="O15" s="5" t="s">
        <v>28</v>
      </c>
    </row>
    <row r="16" customFormat="false" ht="60" hidden="false" customHeight="true" outlineLevel="0" collapsed="false">
      <c r="A16" s="7" t="s">
        <v>73</v>
      </c>
      <c r="B16" s="8" t="s">
        <v>18</v>
      </c>
      <c r="C16" s="8" t="s">
        <v>19</v>
      </c>
      <c r="D16" s="8" t="s">
        <v>74</v>
      </c>
      <c r="E16" s="8" t="s">
        <v>75</v>
      </c>
      <c r="F16" s="7" t="s">
        <v>76</v>
      </c>
      <c r="G16" s="7" t="s">
        <v>23</v>
      </c>
      <c r="H16" s="9" t="s">
        <v>24</v>
      </c>
      <c r="I16" s="8" t="s">
        <v>77</v>
      </c>
      <c r="J16" s="7" t="n">
        <v>0.22</v>
      </c>
      <c r="K16" s="7"/>
      <c r="L16" s="7" t="s">
        <v>26</v>
      </c>
      <c r="M16" s="8"/>
      <c r="N16" s="7" t="s">
        <v>27</v>
      </c>
      <c r="O16" s="8" t="s">
        <v>28</v>
      </c>
    </row>
    <row r="17" customFormat="false" ht="60" hidden="false" customHeight="true" outlineLevel="0" collapsed="false">
      <c r="A17" s="4" t="s">
        <v>78</v>
      </c>
      <c r="B17" s="5" t="s">
        <v>18</v>
      </c>
      <c r="C17" s="5" t="s">
        <v>79</v>
      </c>
      <c r="D17" s="5" t="s">
        <v>80</v>
      </c>
      <c r="E17" s="5" t="s">
        <v>81</v>
      </c>
      <c r="F17" s="4" t="s">
        <v>22</v>
      </c>
      <c r="G17" s="4" t="s">
        <v>23</v>
      </c>
      <c r="H17" s="6" t="s">
        <v>24</v>
      </c>
      <c r="I17" s="5" t="s">
        <v>82</v>
      </c>
      <c r="J17" s="4" t="n">
        <v>1.38</v>
      </c>
      <c r="K17" s="4"/>
      <c r="L17" s="4" t="s">
        <v>26</v>
      </c>
      <c r="M17" s="5"/>
      <c r="N17" s="4" t="s">
        <v>27</v>
      </c>
      <c r="O17" s="5" t="s">
        <v>83</v>
      </c>
    </row>
    <row r="18" customFormat="false" ht="60" hidden="false" customHeight="true" outlineLevel="0" collapsed="false">
      <c r="A18" s="7" t="s">
        <v>84</v>
      </c>
      <c r="B18" s="8" t="s">
        <v>18</v>
      </c>
      <c r="C18" s="8" t="s">
        <v>79</v>
      </c>
      <c r="D18" s="8" t="s">
        <v>85</v>
      </c>
      <c r="E18" s="8" t="s">
        <v>86</v>
      </c>
      <c r="F18" s="7" t="s">
        <v>22</v>
      </c>
      <c r="G18" s="7" t="s">
        <v>23</v>
      </c>
      <c r="H18" s="9" t="s">
        <v>24</v>
      </c>
      <c r="I18" s="8" t="s">
        <v>87</v>
      </c>
      <c r="J18" s="7" t="n">
        <v>1.1</v>
      </c>
      <c r="K18" s="7"/>
      <c r="L18" s="7" t="s">
        <v>26</v>
      </c>
      <c r="M18" s="8"/>
      <c r="N18" s="7" t="s">
        <v>27</v>
      </c>
      <c r="O18" s="8" t="s">
        <v>83</v>
      </c>
    </row>
    <row r="19" customFormat="false" ht="60" hidden="false" customHeight="true" outlineLevel="0" collapsed="false">
      <c r="A19" s="4" t="s">
        <v>88</v>
      </c>
      <c r="B19" s="5" t="s">
        <v>18</v>
      </c>
      <c r="C19" s="5" t="s">
        <v>79</v>
      </c>
      <c r="D19" s="5" t="s">
        <v>89</v>
      </c>
      <c r="E19" s="5" t="s">
        <v>90</v>
      </c>
      <c r="F19" s="4" t="s">
        <v>36</v>
      </c>
      <c r="G19" s="4" t="s">
        <v>23</v>
      </c>
      <c r="H19" s="6" t="s">
        <v>24</v>
      </c>
      <c r="I19" s="5" t="s">
        <v>91</v>
      </c>
      <c r="J19" s="4" t="n">
        <v>1.19</v>
      </c>
      <c r="K19" s="4"/>
      <c r="L19" s="4" t="s">
        <v>26</v>
      </c>
      <c r="M19" s="5"/>
      <c r="N19" s="4" t="s">
        <v>27</v>
      </c>
      <c r="O19" s="5" t="s">
        <v>83</v>
      </c>
    </row>
    <row r="20" customFormat="false" ht="60" hidden="false" customHeight="true" outlineLevel="0" collapsed="false">
      <c r="A20" s="7" t="s">
        <v>92</v>
      </c>
      <c r="B20" s="8" t="s">
        <v>18</v>
      </c>
      <c r="C20" s="8" t="s">
        <v>79</v>
      </c>
      <c r="D20" s="8" t="s">
        <v>93</v>
      </c>
      <c r="E20" s="8" t="s">
        <v>94</v>
      </c>
      <c r="F20" s="7" t="s">
        <v>36</v>
      </c>
      <c r="G20" s="7" t="s">
        <v>23</v>
      </c>
      <c r="H20" s="9" t="s">
        <v>24</v>
      </c>
      <c r="I20" s="8" t="s">
        <v>95</v>
      </c>
      <c r="J20" s="7" t="n">
        <v>3.21</v>
      </c>
      <c r="K20" s="7"/>
      <c r="L20" s="7" t="s">
        <v>26</v>
      </c>
      <c r="M20" s="8"/>
      <c r="N20" s="7" t="s">
        <v>27</v>
      </c>
      <c r="O20" s="8" t="s">
        <v>83</v>
      </c>
    </row>
    <row r="21" customFormat="false" ht="60" hidden="false" customHeight="true" outlineLevel="0" collapsed="false">
      <c r="A21" s="4" t="s">
        <v>96</v>
      </c>
      <c r="B21" s="5" t="s">
        <v>18</v>
      </c>
      <c r="C21" s="5" t="s">
        <v>79</v>
      </c>
      <c r="D21" s="5" t="s">
        <v>97</v>
      </c>
      <c r="E21" s="5" t="s">
        <v>98</v>
      </c>
      <c r="F21" s="4" t="s">
        <v>36</v>
      </c>
      <c r="G21" s="4" t="s">
        <v>23</v>
      </c>
      <c r="H21" s="6" t="s">
        <v>24</v>
      </c>
      <c r="I21" s="5" t="s">
        <v>99</v>
      </c>
      <c r="J21" s="4" t="n">
        <v>1.38</v>
      </c>
      <c r="K21" s="4"/>
      <c r="L21" s="4" t="s">
        <v>26</v>
      </c>
      <c r="M21" s="5"/>
      <c r="N21" s="4" t="s">
        <v>27</v>
      </c>
      <c r="O21" s="5" t="s">
        <v>83</v>
      </c>
    </row>
    <row r="22" customFormat="false" ht="60" hidden="false" customHeight="true" outlineLevel="0" collapsed="false">
      <c r="A22" s="7" t="s">
        <v>100</v>
      </c>
      <c r="B22" s="8" t="s">
        <v>18</v>
      </c>
      <c r="C22" s="8" t="s">
        <v>79</v>
      </c>
      <c r="D22" s="8" t="s">
        <v>101</v>
      </c>
      <c r="E22" s="8" t="s">
        <v>102</v>
      </c>
      <c r="F22" s="7" t="s">
        <v>67</v>
      </c>
      <c r="G22" s="7" t="s">
        <v>23</v>
      </c>
      <c r="H22" s="9" t="s">
        <v>24</v>
      </c>
      <c r="I22" s="8" t="s">
        <v>103</v>
      </c>
      <c r="J22" s="7" t="n">
        <v>0.92</v>
      </c>
      <c r="K22" s="7"/>
      <c r="L22" s="7" t="s">
        <v>26</v>
      </c>
      <c r="M22" s="8"/>
      <c r="N22" s="7" t="s">
        <v>27</v>
      </c>
      <c r="O22" s="8" t="s">
        <v>83</v>
      </c>
    </row>
    <row r="23" customFormat="false" ht="60" hidden="false" customHeight="true" outlineLevel="0" collapsed="false">
      <c r="A23" s="4" t="s">
        <v>104</v>
      </c>
      <c r="B23" s="5" t="s">
        <v>18</v>
      </c>
      <c r="C23" s="5" t="s">
        <v>79</v>
      </c>
      <c r="D23" s="5" t="s">
        <v>105</v>
      </c>
      <c r="E23" s="5" t="s">
        <v>106</v>
      </c>
      <c r="F23" s="4" t="s">
        <v>53</v>
      </c>
      <c r="G23" s="4" t="s">
        <v>23</v>
      </c>
      <c r="H23" s="6" t="s">
        <v>24</v>
      </c>
      <c r="I23" s="5" t="s">
        <v>107</v>
      </c>
      <c r="J23" s="4" t="n">
        <v>0.47</v>
      </c>
      <c r="K23" s="4"/>
      <c r="L23" s="4" t="s">
        <v>26</v>
      </c>
      <c r="M23" s="5"/>
      <c r="N23" s="4" t="s">
        <v>27</v>
      </c>
      <c r="O23" s="5" t="s">
        <v>83</v>
      </c>
    </row>
    <row r="24" customFormat="false" ht="60" hidden="false" customHeight="true" outlineLevel="0" collapsed="false">
      <c r="A24" s="7" t="s">
        <v>108</v>
      </c>
      <c r="B24" s="8" t="s">
        <v>18</v>
      </c>
      <c r="C24" s="8" t="s">
        <v>79</v>
      </c>
      <c r="D24" s="8" t="s">
        <v>109</v>
      </c>
      <c r="E24" s="8" t="s">
        <v>110</v>
      </c>
      <c r="F24" s="7" t="s">
        <v>58</v>
      </c>
      <c r="G24" s="7" t="s">
        <v>23</v>
      </c>
      <c r="H24" s="9" t="s">
        <v>24</v>
      </c>
      <c r="I24" s="8" t="s">
        <v>111</v>
      </c>
      <c r="J24" s="7" t="n">
        <v>0.36</v>
      </c>
      <c r="K24" s="7"/>
      <c r="L24" s="7" t="s">
        <v>26</v>
      </c>
      <c r="M24" s="8"/>
      <c r="N24" s="7" t="s">
        <v>27</v>
      </c>
      <c r="O24" s="8" t="s">
        <v>83</v>
      </c>
    </row>
    <row r="25" customFormat="false" ht="60" hidden="false" customHeight="true" outlineLevel="0" collapsed="false">
      <c r="A25" s="4" t="s">
        <v>112</v>
      </c>
      <c r="B25" s="5" t="s">
        <v>18</v>
      </c>
      <c r="C25" s="5" t="s">
        <v>79</v>
      </c>
      <c r="D25" s="5" t="s">
        <v>113</v>
      </c>
      <c r="E25" s="5" t="s">
        <v>114</v>
      </c>
      <c r="F25" s="4" t="s">
        <v>67</v>
      </c>
      <c r="G25" s="4" t="s">
        <v>23</v>
      </c>
      <c r="H25" s="6" t="s">
        <v>24</v>
      </c>
      <c r="I25" s="5" t="s">
        <v>115</v>
      </c>
      <c r="J25" s="4" t="n">
        <v>0.21</v>
      </c>
      <c r="K25" s="4"/>
      <c r="L25" s="4" t="s">
        <v>26</v>
      </c>
      <c r="M25" s="5"/>
      <c r="N25" s="4" t="s">
        <v>27</v>
      </c>
      <c r="O25" s="5" t="s">
        <v>83</v>
      </c>
    </row>
    <row r="26" customFormat="false" ht="60" hidden="false" customHeight="true" outlineLevel="0" collapsed="false">
      <c r="A26" s="7" t="s">
        <v>116</v>
      </c>
      <c r="B26" s="8" t="s">
        <v>18</v>
      </c>
      <c r="C26" s="8" t="s">
        <v>79</v>
      </c>
      <c r="D26" s="8" t="s">
        <v>117</v>
      </c>
      <c r="E26" s="8" t="s">
        <v>118</v>
      </c>
      <c r="F26" s="7" t="s">
        <v>76</v>
      </c>
      <c r="G26" s="7" t="s">
        <v>23</v>
      </c>
      <c r="H26" s="9" t="s">
        <v>24</v>
      </c>
      <c r="I26" s="8" t="s">
        <v>119</v>
      </c>
      <c r="J26" s="7" t="n">
        <v>0.6</v>
      </c>
      <c r="K26" s="7"/>
      <c r="L26" s="7" t="s">
        <v>26</v>
      </c>
      <c r="M26" s="8"/>
      <c r="N26" s="7" t="s">
        <v>27</v>
      </c>
      <c r="O26" s="8" t="s">
        <v>83</v>
      </c>
    </row>
    <row r="27" customFormat="false" ht="60" hidden="false" customHeight="true" outlineLevel="0" collapsed="false">
      <c r="A27" s="4" t="s">
        <v>120</v>
      </c>
      <c r="B27" s="5" t="s">
        <v>18</v>
      </c>
      <c r="C27" s="5" t="s">
        <v>121</v>
      </c>
      <c r="D27" s="5" t="s">
        <v>122</v>
      </c>
      <c r="E27" s="5" t="s">
        <v>123</v>
      </c>
      <c r="F27" s="4" t="s">
        <v>22</v>
      </c>
      <c r="G27" s="4" t="s">
        <v>23</v>
      </c>
      <c r="H27" s="6" t="s">
        <v>24</v>
      </c>
      <c r="I27" s="5" t="s">
        <v>124</v>
      </c>
      <c r="J27" s="4" t="n">
        <v>0.83</v>
      </c>
      <c r="K27" s="4"/>
      <c r="L27" s="4" t="s">
        <v>26</v>
      </c>
      <c r="M27" s="5"/>
      <c r="N27" s="4" t="s">
        <v>27</v>
      </c>
      <c r="O27" s="5" t="s">
        <v>125</v>
      </c>
    </row>
    <row r="28" customFormat="false" ht="60" hidden="false" customHeight="true" outlineLevel="0" collapsed="false">
      <c r="A28" s="7" t="s">
        <v>126</v>
      </c>
      <c r="B28" s="8" t="s">
        <v>18</v>
      </c>
      <c r="C28" s="8" t="s">
        <v>121</v>
      </c>
      <c r="D28" s="8" t="s">
        <v>127</v>
      </c>
      <c r="E28" s="8" t="s">
        <v>128</v>
      </c>
      <c r="F28" s="7" t="s">
        <v>22</v>
      </c>
      <c r="G28" s="7" t="s">
        <v>23</v>
      </c>
      <c r="H28" s="9" t="s">
        <v>24</v>
      </c>
      <c r="I28" s="8" t="s">
        <v>129</v>
      </c>
      <c r="J28" s="7" t="n">
        <v>0.66</v>
      </c>
      <c r="K28" s="7"/>
      <c r="L28" s="7" t="s">
        <v>26</v>
      </c>
      <c r="M28" s="8"/>
      <c r="N28" s="7" t="s">
        <v>27</v>
      </c>
      <c r="O28" s="8" t="s">
        <v>125</v>
      </c>
    </row>
    <row r="29" customFormat="false" ht="60" hidden="false" customHeight="true" outlineLevel="0" collapsed="false">
      <c r="A29" s="4" t="s">
        <v>130</v>
      </c>
      <c r="B29" s="5" t="s">
        <v>18</v>
      </c>
      <c r="C29" s="5" t="s">
        <v>121</v>
      </c>
      <c r="D29" s="5" t="s">
        <v>131</v>
      </c>
      <c r="E29" s="5" t="s">
        <v>132</v>
      </c>
      <c r="F29" s="4" t="s">
        <v>36</v>
      </c>
      <c r="G29" s="4" t="s">
        <v>23</v>
      </c>
      <c r="H29" s="6" t="s">
        <v>24</v>
      </c>
      <c r="I29" s="5" t="s">
        <v>133</v>
      </c>
      <c r="J29" s="4" t="n">
        <v>0.72</v>
      </c>
      <c r="K29" s="4"/>
      <c r="L29" s="4" t="s">
        <v>26</v>
      </c>
      <c r="M29" s="5"/>
      <c r="N29" s="4" t="s">
        <v>27</v>
      </c>
      <c r="O29" s="5" t="s">
        <v>125</v>
      </c>
    </row>
    <row r="30" customFormat="false" ht="60" hidden="false" customHeight="true" outlineLevel="0" collapsed="false">
      <c r="A30" s="7" t="s">
        <v>134</v>
      </c>
      <c r="B30" s="8" t="s">
        <v>18</v>
      </c>
      <c r="C30" s="8" t="s">
        <v>121</v>
      </c>
      <c r="D30" s="8" t="s">
        <v>135</v>
      </c>
      <c r="E30" s="8" t="s">
        <v>136</v>
      </c>
      <c r="F30" s="7" t="s">
        <v>36</v>
      </c>
      <c r="G30" s="7" t="s">
        <v>23</v>
      </c>
      <c r="H30" s="9" t="s">
        <v>24</v>
      </c>
      <c r="I30" s="8" t="s">
        <v>137</v>
      </c>
      <c r="J30" s="7" t="n">
        <v>1.93</v>
      </c>
      <c r="K30" s="7"/>
      <c r="L30" s="7" t="s">
        <v>26</v>
      </c>
      <c r="M30" s="8"/>
      <c r="N30" s="7" t="s">
        <v>27</v>
      </c>
      <c r="O30" s="8" t="s">
        <v>125</v>
      </c>
    </row>
    <row r="31" customFormat="false" ht="60" hidden="false" customHeight="true" outlineLevel="0" collapsed="false">
      <c r="A31" s="4" t="s">
        <v>138</v>
      </c>
      <c r="B31" s="5" t="s">
        <v>18</v>
      </c>
      <c r="C31" s="5" t="s">
        <v>121</v>
      </c>
      <c r="D31" s="5" t="s">
        <v>139</v>
      </c>
      <c r="E31" s="5" t="s">
        <v>140</v>
      </c>
      <c r="F31" s="4" t="s">
        <v>36</v>
      </c>
      <c r="G31" s="4" t="s">
        <v>23</v>
      </c>
      <c r="H31" s="6" t="s">
        <v>24</v>
      </c>
      <c r="I31" s="5" t="s">
        <v>141</v>
      </c>
      <c r="J31" s="4" t="n">
        <v>0.83</v>
      </c>
      <c r="K31" s="4"/>
      <c r="L31" s="4" t="s">
        <v>26</v>
      </c>
      <c r="M31" s="5"/>
      <c r="N31" s="4" t="s">
        <v>27</v>
      </c>
      <c r="O31" s="5" t="s">
        <v>125</v>
      </c>
    </row>
    <row r="32" customFormat="false" ht="60" hidden="false" customHeight="true" outlineLevel="0" collapsed="false">
      <c r="A32" s="7" t="s">
        <v>142</v>
      </c>
      <c r="B32" s="8" t="s">
        <v>18</v>
      </c>
      <c r="C32" s="8" t="s">
        <v>121</v>
      </c>
      <c r="D32" s="8" t="s">
        <v>143</v>
      </c>
      <c r="E32" s="8" t="s">
        <v>144</v>
      </c>
      <c r="F32" s="7" t="s">
        <v>67</v>
      </c>
      <c r="G32" s="7" t="s">
        <v>23</v>
      </c>
      <c r="H32" s="9" t="s">
        <v>24</v>
      </c>
      <c r="I32" s="8" t="s">
        <v>145</v>
      </c>
      <c r="J32" s="7" t="n">
        <v>0.55</v>
      </c>
      <c r="K32" s="7"/>
      <c r="L32" s="7" t="s">
        <v>26</v>
      </c>
      <c r="M32" s="8"/>
      <c r="N32" s="7" t="s">
        <v>27</v>
      </c>
      <c r="O32" s="8" t="s">
        <v>125</v>
      </c>
    </row>
    <row r="33" customFormat="false" ht="60" hidden="false" customHeight="true" outlineLevel="0" collapsed="false">
      <c r="A33" s="4" t="s">
        <v>146</v>
      </c>
      <c r="B33" s="5" t="s">
        <v>18</v>
      </c>
      <c r="C33" s="5" t="s">
        <v>121</v>
      </c>
      <c r="D33" s="5" t="s">
        <v>147</v>
      </c>
      <c r="E33" s="5" t="s">
        <v>148</v>
      </c>
      <c r="F33" s="4" t="s">
        <v>53</v>
      </c>
      <c r="G33" s="4" t="s">
        <v>23</v>
      </c>
      <c r="H33" s="6" t="s">
        <v>24</v>
      </c>
      <c r="I33" s="5" t="s">
        <v>149</v>
      </c>
      <c r="J33" s="4" t="n">
        <v>0.28</v>
      </c>
      <c r="K33" s="4"/>
      <c r="L33" s="4" t="s">
        <v>26</v>
      </c>
      <c r="M33" s="5"/>
      <c r="N33" s="4" t="s">
        <v>27</v>
      </c>
      <c r="O33" s="5" t="s">
        <v>125</v>
      </c>
    </row>
    <row r="34" customFormat="false" ht="60" hidden="false" customHeight="true" outlineLevel="0" collapsed="false">
      <c r="A34" s="7" t="s">
        <v>150</v>
      </c>
      <c r="B34" s="8" t="s">
        <v>18</v>
      </c>
      <c r="C34" s="8" t="s">
        <v>121</v>
      </c>
      <c r="D34" s="8" t="s">
        <v>151</v>
      </c>
      <c r="E34" s="8" t="s">
        <v>152</v>
      </c>
      <c r="F34" s="7" t="s">
        <v>58</v>
      </c>
      <c r="G34" s="7" t="s">
        <v>23</v>
      </c>
      <c r="H34" s="9" t="s">
        <v>24</v>
      </c>
      <c r="I34" s="8" t="s">
        <v>153</v>
      </c>
      <c r="J34" s="7" t="n">
        <v>0.22</v>
      </c>
      <c r="K34" s="7"/>
      <c r="L34" s="7" t="s">
        <v>26</v>
      </c>
      <c r="M34" s="8"/>
      <c r="N34" s="7" t="s">
        <v>27</v>
      </c>
      <c r="O34" s="8" t="s">
        <v>125</v>
      </c>
    </row>
    <row r="35" customFormat="false" ht="60" hidden="false" customHeight="true" outlineLevel="0" collapsed="false">
      <c r="A35" s="4" t="s">
        <v>154</v>
      </c>
      <c r="B35" s="5" t="s">
        <v>18</v>
      </c>
      <c r="C35" s="5" t="s">
        <v>121</v>
      </c>
      <c r="D35" s="5" t="s">
        <v>155</v>
      </c>
      <c r="E35" s="5" t="s">
        <v>156</v>
      </c>
      <c r="F35" s="4" t="s">
        <v>67</v>
      </c>
      <c r="G35" s="4" t="s">
        <v>23</v>
      </c>
      <c r="H35" s="6" t="s">
        <v>24</v>
      </c>
      <c r="I35" s="5" t="s">
        <v>157</v>
      </c>
      <c r="J35" s="4" t="n">
        <v>0.12</v>
      </c>
      <c r="K35" s="4"/>
      <c r="L35" s="4" t="s">
        <v>26</v>
      </c>
      <c r="M35" s="5"/>
      <c r="N35" s="4" t="s">
        <v>27</v>
      </c>
      <c r="O35" s="5" t="s">
        <v>125</v>
      </c>
    </row>
    <row r="36" customFormat="false" ht="60" hidden="false" customHeight="true" outlineLevel="0" collapsed="false">
      <c r="A36" s="7" t="s">
        <v>158</v>
      </c>
      <c r="B36" s="8" t="s">
        <v>18</v>
      </c>
      <c r="C36" s="8" t="s">
        <v>121</v>
      </c>
      <c r="D36" s="8" t="s">
        <v>159</v>
      </c>
      <c r="E36" s="8" t="s">
        <v>160</v>
      </c>
      <c r="F36" s="7" t="s">
        <v>76</v>
      </c>
      <c r="G36" s="7" t="s">
        <v>23</v>
      </c>
      <c r="H36" s="9" t="s">
        <v>24</v>
      </c>
      <c r="I36" s="8" t="s">
        <v>161</v>
      </c>
      <c r="J36" s="7" t="n">
        <v>0.36</v>
      </c>
      <c r="K36" s="7"/>
      <c r="L36" s="7" t="s">
        <v>26</v>
      </c>
      <c r="M36" s="8"/>
      <c r="N36" s="7" t="s">
        <v>27</v>
      </c>
      <c r="O36" s="8" t="s">
        <v>125</v>
      </c>
    </row>
    <row r="37" customFormat="false" ht="60" hidden="false" customHeight="true" outlineLevel="0" collapsed="false">
      <c r="A37" s="4" t="s">
        <v>162</v>
      </c>
      <c r="B37" s="5" t="s">
        <v>18</v>
      </c>
      <c r="C37" s="5" t="s">
        <v>163</v>
      </c>
      <c r="D37" s="5" t="s">
        <v>164</v>
      </c>
      <c r="E37" s="5" t="s">
        <v>165</v>
      </c>
      <c r="F37" s="4" t="s">
        <v>22</v>
      </c>
      <c r="G37" s="4" t="s">
        <v>23</v>
      </c>
      <c r="H37" s="6" t="s">
        <v>24</v>
      </c>
      <c r="I37" s="5" t="s">
        <v>166</v>
      </c>
      <c r="J37" s="4" t="n">
        <v>1.38</v>
      </c>
      <c r="K37" s="4"/>
      <c r="L37" s="4" t="s">
        <v>26</v>
      </c>
      <c r="M37" s="5"/>
      <c r="N37" s="4" t="s">
        <v>27</v>
      </c>
      <c r="O37" s="5" t="s">
        <v>167</v>
      </c>
    </row>
    <row r="38" customFormat="false" ht="60" hidden="false" customHeight="true" outlineLevel="0" collapsed="false">
      <c r="A38" s="7" t="s">
        <v>168</v>
      </c>
      <c r="B38" s="8" t="s">
        <v>18</v>
      </c>
      <c r="C38" s="8" t="s">
        <v>163</v>
      </c>
      <c r="D38" s="8" t="s">
        <v>169</v>
      </c>
      <c r="E38" s="8" t="s">
        <v>170</v>
      </c>
      <c r="F38" s="7" t="s">
        <v>22</v>
      </c>
      <c r="G38" s="7" t="s">
        <v>23</v>
      </c>
      <c r="H38" s="9" t="s">
        <v>24</v>
      </c>
      <c r="I38" s="8" t="s">
        <v>171</v>
      </c>
      <c r="J38" s="7" t="n">
        <v>1.1</v>
      </c>
      <c r="K38" s="7"/>
      <c r="L38" s="7" t="s">
        <v>26</v>
      </c>
      <c r="M38" s="8"/>
      <c r="N38" s="7" t="s">
        <v>27</v>
      </c>
      <c r="O38" s="8" t="s">
        <v>167</v>
      </c>
    </row>
    <row r="39" customFormat="false" ht="60" hidden="false" customHeight="true" outlineLevel="0" collapsed="false">
      <c r="A39" s="4" t="s">
        <v>172</v>
      </c>
      <c r="B39" s="5" t="s">
        <v>18</v>
      </c>
      <c r="C39" s="5" t="s">
        <v>163</v>
      </c>
      <c r="D39" s="5" t="s">
        <v>173</v>
      </c>
      <c r="E39" s="5" t="s">
        <v>174</v>
      </c>
      <c r="F39" s="4" t="s">
        <v>36</v>
      </c>
      <c r="G39" s="4" t="s">
        <v>23</v>
      </c>
      <c r="H39" s="6" t="s">
        <v>24</v>
      </c>
      <c r="I39" s="5" t="s">
        <v>175</v>
      </c>
      <c r="J39" s="4" t="n">
        <v>1.19</v>
      </c>
      <c r="K39" s="4"/>
      <c r="L39" s="4" t="s">
        <v>26</v>
      </c>
      <c r="M39" s="5"/>
      <c r="N39" s="4" t="s">
        <v>27</v>
      </c>
      <c r="O39" s="5" t="s">
        <v>167</v>
      </c>
    </row>
    <row r="40" customFormat="false" ht="60" hidden="false" customHeight="true" outlineLevel="0" collapsed="false">
      <c r="A40" s="7" t="s">
        <v>176</v>
      </c>
      <c r="B40" s="8" t="s">
        <v>18</v>
      </c>
      <c r="C40" s="8" t="s">
        <v>163</v>
      </c>
      <c r="D40" s="8" t="s">
        <v>177</v>
      </c>
      <c r="E40" s="8" t="s">
        <v>178</v>
      </c>
      <c r="F40" s="7" t="s">
        <v>36</v>
      </c>
      <c r="G40" s="7" t="s">
        <v>23</v>
      </c>
      <c r="H40" s="9" t="s">
        <v>24</v>
      </c>
      <c r="I40" s="8" t="s">
        <v>179</v>
      </c>
      <c r="J40" s="7" t="n">
        <v>3.21</v>
      </c>
      <c r="K40" s="7"/>
      <c r="L40" s="7" t="s">
        <v>26</v>
      </c>
      <c r="M40" s="8"/>
      <c r="N40" s="7" t="s">
        <v>27</v>
      </c>
      <c r="O40" s="8" t="s">
        <v>167</v>
      </c>
    </row>
    <row r="41" customFormat="false" ht="60" hidden="false" customHeight="true" outlineLevel="0" collapsed="false">
      <c r="A41" s="4" t="s">
        <v>180</v>
      </c>
      <c r="B41" s="5" t="s">
        <v>18</v>
      </c>
      <c r="C41" s="5" t="s">
        <v>163</v>
      </c>
      <c r="D41" s="5" t="s">
        <v>181</v>
      </c>
      <c r="E41" s="5" t="s">
        <v>182</v>
      </c>
      <c r="F41" s="4" t="s">
        <v>36</v>
      </c>
      <c r="G41" s="4" t="s">
        <v>23</v>
      </c>
      <c r="H41" s="6" t="s">
        <v>24</v>
      </c>
      <c r="I41" s="5" t="s">
        <v>183</v>
      </c>
      <c r="J41" s="4" t="n">
        <v>1.38</v>
      </c>
      <c r="K41" s="4"/>
      <c r="L41" s="4" t="s">
        <v>26</v>
      </c>
      <c r="M41" s="5"/>
      <c r="N41" s="4" t="s">
        <v>27</v>
      </c>
      <c r="O41" s="5" t="s">
        <v>167</v>
      </c>
    </row>
    <row r="42" customFormat="false" ht="60" hidden="false" customHeight="true" outlineLevel="0" collapsed="false">
      <c r="A42" s="7" t="s">
        <v>184</v>
      </c>
      <c r="B42" s="8" t="s">
        <v>18</v>
      </c>
      <c r="C42" s="8" t="s">
        <v>163</v>
      </c>
      <c r="D42" s="8" t="s">
        <v>185</v>
      </c>
      <c r="E42" s="8" t="s">
        <v>186</v>
      </c>
      <c r="F42" s="7" t="s">
        <v>67</v>
      </c>
      <c r="G42" s="7" t="s">
        <v>23</v>
      </c>
      <c r="H42" s="9" t="s">
        <v>24</v>
      </c>
      <c r="I42" s="8" t="s">
        <v>187</v>
      </c>
      <c r="J42" s="7" t="n">
        <v>0.92</v>
      </c>
      <c r="K42" s="7"/>
      <c r="L42" s="7" t="s">
        <v>26</v>
      </c>
      <c r="M42" s="8"/>
      <c r="N42" s="7" t="s">
        <v>27</v>
      </c>
      <c r="O42" s="8" t="s">
        <v>167</v>
      </c>
    </row>
    <row r="43" customFormat="false" ht="60" hidden="false" customHeight="true" outlineLevel="0" collapsed="false">
      <c r="A43" s="4" t="s">
        <v>188</v>
      </c>
      <c r="B43" s="5" t="s">
        <v>18</v>
      </c>
      <c r="C43" s="5" t="s">
        <v>163</v>
      </c>
      <c r="D43" s="5" t="s">
        <v>189</v>
      </c>
      <c r="E43" s="5" t="s">
        <v>190</v>
      </c>
      <c r="F43" s="4" t="s">
        <v>53</v>
      </c>
      <c r="G43" s="4" t="s">
        <v>23</v>
      </c>
      <c r="H43" s="6" t="s">
        <v>24</v>
      </c>
      <c r="I43" s="5" t="s">
        <v>191</v>
      </c>
      <c r="J43" s="4" t="n">
        <v>0.47</v>
      </c>
      <c r="K43" s="4"/>
      <c r="L43" s="4" t="s">
        <v>26</v>
      </c>
      <c r="M43" s="5"/>
      <c r="N43" s="4" t="s">
        <v>27</v>
      </c>
      <c r="O43" s="5" t="s">
        <v>167</v>
      </c>
    </row>
    <row r="44" customFormat="false" ht="60" hidden="false" customHeight="true" outlineLevel="0" collapsed="false">
      <c r="A44" s="7" t="s">
        <v>192</v>
      </c>
      <c r="B44" s="8" t="s">
        <v>18</v>
      </c>
      <c r="C44" s="8" t="s">
        <v>163</v>
      </c>
      <c r="D44" s="8" t="s">
        <v>193</v>
      </c>
      <c r="E44" s="8" t="s">
        <v>194</v>
      </c>
      <c r="F44" s="7" t="s">
        <v>58</v>
      </c>
      <c r="G44" s="7" t="s">
        <v>23</v>
      </c>
      <c r="H44" s="9" t="s">
        <v>24</v>
      </c>
      <c r="I44" s="8" t="s">
        <v>195</v>
      </c>
      <c r="J44" s="7" t="n">
        <v>0.36</v>
      </c>
      <c r="K44" s="7"/>
      <c r="L44" s="7" t="s">
        <v>26</v>
      </c>
      <c r="M44" s="8"/>
      <c r="N44" s="7" t="s">
        <v>27</v>
      </c>
      <c r="O44" s="8" t="s">
        <v>167</v>
      </c>
    </row>
    <row r="45" customFormat="false" ht="60" hidden="false" customHeight="true" outlineLevel="0" collapsed="false">
      <c r="A45" s="4" t="s">
        <v>196</v>
      </c>
      <c r="B45" s="5" t="s">
        <v>18</v>
      </c>
      <c r="C45" s="5" t="s">
        <v>163</v>
      </c>
      <c r="D45" s="5" t="s">
        <v>197</v>
      </c>
      <c r="E45" s="5" t="s">
        <v>198</v>
      </c>
      <c r="F45" s="4" t="s">
        <v>67</v>
      </c>
      <c r="G45" s="4" t="s">
        <v>23</v>
      </c>
      <c r="H45" s="6" t="s">
        <v>24</v>
      </c>
      <c r="I45" s="5" t="s">
        <v>199</v>
      </c>
      <c r="J45" s="4" t="n">
        <v>0.21</v>
      </c>
      <c r="K45" s="4"/>
      <c r="L45" s="4" t="s">
        <v>26</v>
      </c>
      <c r="M45" s="5"/>
      <c r="N45" s="4" t="s">
        <v>27</v>
      </c>
      <c r="O45" s="5" t="s">
        <v>167</v>
      </c>
    </row>
    <row r="46" customFormat="false" ht="60" hidden="false" customHeight="true" outlineLevel="0" collapsed="false">
      <c r="A46" s="7" t="s">
        <v>200</v>
      </c>
      <c r="B46" s="8" t="s">
        <v>18</v>
      </c>
      <c r="C46" s="8" t="s">
        <v>163</v>
      </c>
      <c r="D46" s="8" t="s">
        <v>201</v>
      </c>
      <c r="E46" s="8" t="s">
        <v>202</v>
      </c>
      <c r="F46" s="7" t="s">
        <v>76</v>
      </c>
      <c r="G46" s="7" t="s">
        <v>23</v>
      </c>
      <c r="H46" s="9" t="s">
        <v>24</v>
      </c>
      <c r="I46" s="8" t="s">
        <v>203</v>
      </c>
      <c r="J46" s="7" t="n">
        <v>0.6</v>
      </c>
      <c r="K46" s="7"/>
      <c r="L46" s="7" t="s">
        <v>26</v>
      </c>
      <c r="M46" s="8"/>
      <c r="N46" s="7" t="s">
        <v>27</v>
      </c>
      <c r="O46" s="8" t="s">
        <v>167</v>
      </c>
    </row>
    <row r="47" customFormat="false" ht="60" hidden="false" customHeight="true" outlineLevel="0" collapsed="false">
      <c r="A47" s="4" t="s">
        <v>204</v>
      </c>
      <c r="B47" s="5" t="s">
        <v>18</v>
      </c>
      <c r="C47" s="5" t="s">
        <v>205</v>
      </c>
      <c r="D47" s="5" t="s">
        <v>206</v>
      </c>
      <c r="E47" s="5" t="s">
        <v>207</v>
      </c>
      <c r="F47" s="4" t="s">
        <v>22</v>
      </c>
      <c r="G47" s="4" t="s">
        <v>23</v>
      </c>
      <c r="H47" s="6" t="s">
        <v>24</v>
      </c>
      <c r="I47" s="5" t="s">
        <v>208</v>
      </c>
      <c r="J47" s="4" t="n">
        <v>1.38</v>
      </c>
      <c r="K47" s="4"/>
      <c r="L47" s="4" t="s">
        <v>26</v>
      </c>
      <c r="M47" s="5"/>
      <c r="N47" s="4" t="s">
        <v>27</v>
      </c>
      <c r="O47" s="5" t="s">
        <v>209</v>
      </c>
    </row>
    <row r="48" customFormat="false" ht="60" hidden="false" customHeight="true" outlineLevel="0" collapsed="false">
      <c r="A48" s="7" t="s">
        <v>210</v>
      </c>
      <c r="B48" s="8" t="s">
        <v>18</v>
      </c>
      <c r="C48" s="8" t="s">
        <v>205</v>
      </c>
      <c r="D48" s="8" t="s">
        <v>211</v>
      </c>
      <c r="E48" s="8" t="s">
        <v>212</v>
      </c>
      <c r="F48" s="7" t="s">
        <v>22</v>
      </c>
      <c r="G48" s="7" t="s">
        <v>23</v>
      </c>
      <c r="H48" s="9" t="s">
        <v>24</v>
      </c>
      <c r="I48" s="8" t="s">
        <v>213</v>
      </c>
      <c r="J48" s="7" t="n">
        <v>1.1</v>
      </c>
      <c r="K48" s="7"/>
      <c r="L48" s="7" t="s">
        <v>26</v>
      </c>
      <c r="M48" s="8"/>
      <c r="N48" s="7" t="s">
        <v>27</v>
      </c>
      <c r="O48" s="8" t="s">
        <v>209</v>
      </c>
    </row>
    <row r="49" customFormat="false" ht="60" hidden="false" customHeight="true" outlineLevel="0" collapsed="false">
      <c r="A49" s="4" t="s">
        <v>214</v>
      </c>
      <c r="B49" s="5" t="s">
        <v>18</v>
      </c>
      <c r="C49" s="5" t="s">
        <v>205</v>
      </c>
      <c r="D49" s="5" t="s">
        <v>215</v>
      </c>
      <c r="E49" s="5" t="s">
        <v>216</v>
      </c>
      <c r="F49" s="4" t="s">
        <v>36</v>
      </c>
      <c r="G49" s="4" t="s">
        <v>23</v>
      </c>
      <c r="H49" s="6" t="s">
        <v>24</v>
      </c>
      <c r="I49" s="5" t="s">
        <v>217</v>
      </c>
      <c r="J49" s="4" t="n">
        <v>1.19</v>
      </c>
      <c r="K49" s="4"/>
      <c r="L49" s="4" t="s">
        <v>26</v>
      </c>
      <c r="M49" s="5"/>
      <c r="N49" s="4" t="s">
        <v>27</v>
      </c>
      <c r="O49" s="5" t="s">
        <v>209</v>
      </c>
    </row>
    <row r="50" customFormat="false" ht="60" hidden="false" customHeight="true" outlineLevel="0" collapsed="false">
      <c r="A50" s="7" t="s">
        <v>218</v>
      </c>
      <c r="B50" s="8" t="s">
        <v>18</v>
      </c>
      <c r="C50" s="8" t="s">
        <v>205</v>
      </c>
      <c r="D50" s="8" t="s">
        <v>219</v>
      </c>
      <c r="E50" s="8" t="s">
        <v>220</v>
      </c>
      <c r="F50" s="7" t="s">
        <v>36</v>
      </c>
      <c r="G50" s="7" t="s">
        <v>23</v>
      </c>
      <c r="H50" s="9" t="s">
        <v>24</v>
      </c>
      <c r="I50" s="8" t="s">
        <v>221</v>
      </c>
      <c r="J50" s="7" t="n">
        <v>3.21</v>
      </c>
      <c r="K50" s="7"/>
      <c r="L50" s="7" t="s">
        <v>26</v>
      </c>
      <c r="M50" s="8"/>
      <c r="N50" s="7" t="s">
        <v>27</v>
      </c>
      <c r="O50" s="8" t="s">
        <v>209</v>
      </c>
    </row>
    <row r="51" customFormat="false" ht="60" hidden="false" customHeight="true" outlineLevel="0" collapsed="false">
      <c r="A51" s="4" t="s">
        <v>222</v>
      </c>
      <c r="B51" s="5" t="s">
        <v>18</v>
      </c>
      <c r="C51" s="5" t="s">
        <v>205</v>
      </c>
      <c r="D51" s="5" t="s">
        <v>223</v>
      </c>
      <c r="E51" s="5" t="s">
        <v>224</v>
      </c>
      <c r="F51" s="4" t="s">
        <v>36</v>
      </c>
      <c r="G51" s="4" t="s">
        <v>23</v>
      </c>
      <c r="H51" s="6" t="s">
        <v>24</v>
      </c>
      <c r="I51" s="5" t="s">
        <v>225</v>
      </c>
      <c r="J51" s="4" t="n">
        <v>1.38</v>
      </c>
      <c r="K51" s="4"/>
      <c r="L51" s="4" t="s">
        <v>26</v>
      </c>
      <c r="M51" s="5"/>
      <c r="N51" s="4" t="s">
        <v>27</v>
      </c>
      <c r="O51" s="5" t="s">
        <v>209</v>
      </c>
    </row>
    <row r="52" customFormat="false" ht="60" hidden="false" customHeight="true" outlineLevel="0" collapsed="false">
      <c r="A52" s="7" t="s">
        <v>226</v>
      </c>
      <c r="B52" s="8" t="s">
        <v>18</v>
      </c>
      <c r="C52" s="8" t="s">
        <v>205</v>
      </c>
      <c r="D52" s="8" t="s">
        <v>227</v>
      </c>
      <c r="E52" s="8" t="s">
        <v>228</v>
      </c>
      <c r="F52" s="7" t="s">
        <v>67</v>
      </c>
      <c r="G52" s="7" t="s">
        <v>23</v>
      </c>
      <c r="H52" s="9" t="s">
        <v>24</v>
      </c>
      <c r="I52" s="8" t="s">
        <v>229</v>
      </c>
      <c r="J52" s="7" t="n">
        <v>0.92</v>
      </c>
      <c r="K52" s="7"/>
      <c r="L52" s="7" t="s">
        <v>26</v>
      </c>
      <c r="M52" s="8"/>
      <c r="N52" s="7" t="s">
        <v>27</v>
      </c>
      <c r="O52" s="8" t="s">
        <v>209</v>
      </c>
    </row>
    <row r="53" customFormat="false" ht="60" hidden="false" customHeight="true" outlineLevel="0" collapsed="false">
      <c r="A53" s="4" t="s">
        <v>230</v>
      </c>
      <c r="B53" s="5" t="s">
        <v>18</v>
      </c>
      <c r="C53" s="5" t="s">
        <v>205</v>
      </c>
      <c r="D53" s="5" t="s">
        <v>231</v>
      </c>
      <c r="E53" s="5" t="s">
        <v>232</v>
      </c>
      <c r="F53" s="4" t="s">
        <v>53</v>
      </c>
      <c r="G53" s="4" t="s">
        <v>23</v>
      </c>
      <c r="H53" s="6" t="s">
        <v>24</v>
      </c>
      <c r="I53" s="5" t="s">
        <v>233</v>
      </c>
      <c r="J53" s="4" t="n">
        <v>0.47</v>
      </c>
      <c r="K53" s="4"/>
      <c r="L53" s="4" t="s">
        <v>26</v>
      </c>
      <c r="M53" s="5"/>
      <c r="N53" s="4" t="s">
        <v>27</v>
      </c>
      <c r="O53" s="5" t="s">
        <v>209</v>
      </c>
    </row>
    <row r="54" customFormat="false" ht="60" hidden="false" customHeight="true" outlineLevel="0" collapsed="false">
      <c r="A54" s="7" t="s">
        <v>234</v>
      </c>
      <c r="B54" s="8" t="s">
        <v>18</v>
      </c>
      <c r="C54" s="8" t="s">
        <v>205</v>
      </c>
      <c r="D54" s="8" t="s">
        <v>235</v>
      </c>
      <c r="E54" s="8" t="s">
        <v>236</v>
      </c>
      <c r="F54" s="7" t="s">
        <v>58</v>
      </c>
      <c r="G54" s="7" t="s">
        <v>23</v>
      </c>
      <c r="H54" s="9" t="s">
        <v>24</v>
      </c>
      <c r="I54" s="8" t="s">
        <v>237</v>
      </c>
      <c r="J54" s="7" t="n">
        <v>0.36</v>
      </c>
      <c r="K54" s="7"/>
      <c r="L54" s="7" t="s">
        <v>26</v>
      </c>
      <c r="M54" s="8"/>
      <c r="N54" s="7" t="s">
        <v>27</v>
      </c>
      <c r="O54" s="8" t="s">
        <v>209</v>
      </c>
    </row>
    <row r="55" customFormat="false" ht="60" hidden="false" customHeight="true" outlineLevel="0" collapsed="false">
      <c r="A55" s="4" t="s">
        <v>238</v>
      </c>
      <c r="B55" s="5" t="s">
        <v>18</v>
      </c>
      <c r="C55" s="5" t="s">
        <v>205</v>
      </c>
      <c r="D55" s="5" t="s">
        <v>239</v>
      </c>
      <c r="E55" s="5" t="s">
        <v>240</v>
      </c>
      <c r="F55" s="4" t="s">
        <v>67</v>
      </c>
      <c r="G55" s="4" t="s">
        <v>23</v>
      </c>
      <c r="H55" s="6" t="s">
        <v>24</v>
      </c>
      <c r="I55" s="5" t="s">
        <v>241</v>
      </c>
      <c r="J55" s="4" t="n">
        <v>0.21</v>
      </c>
      <c r="K55" s="4"/>
      <c r="L55" s="4" t="s">
        <v>26</v>
      </c>
      <c r="M55" s="5"/>
      <c r="N55" s="4" t="s">
        <v>27</v>
      </c>
      <c r="O55" s="5" t="s">
        <v>209</v>
      </c>
    </row>
    <row r="56" customFormat="false" ht="60" hidden="false" customHeight="true" outlineLevel="0" collapsed="false">
      <c r="A56" s="7" t="s">
        <v>242</v>
      </c>
      <c r="B56" s="8" t="s">
        <v>18</v>
      </c>
      <c r="C56" s="8" t="s">
        <v>205</v>
      </c>
      <c r="D56" s="8" t="s">
        <v>243</v>
      </c>
      <c r="E56" s="8" t="s">
        <v>244</v>
      </c>
      <c r="F56" s="7" t="s">
        <v>76</v>
      </c>
      <c r="G56" s="7" t="s">
        <v>23</v>
      </c>
      <c r="H56" s="9" t="s">
        <v>24</v>
      </c>
      <c r="I56" s="8" t="s">
        <v>245</v>
      </c>
      <c r="J56" s="7" t="n">
        <v>0.6</v>
      </c>
      <c r="K56" s="7"/>
      <c r="L56" s="7" t="s">
        <v>26</v>
      </c>
      <c r="M56" s="8"/>
      <c r="N56" s="7" t="s">
        <v>27</v>
      </c>
      <c r="O56" s="8" t="s">
        <v>209</v>
      </c>
    </row>
    <row r="57" customFormat="false" ht="60" hidden="false" customHeight="true" outlineLevel="0" collapsed="false">
      <c r="A57" s="4" t="s">
        <v>246</v>
      </c>
      <c r="B57" s="5" t="s">
        <v>18</v>
      </c>
      <c r="C57" s="5" t="s">
        <v>247</v>
      </c>
      <c r="D57" s="5" t="s">
        <v>248</v>
      </c>
      <c r="E57" s="5" t="s">
        <v>249</v>
      </c>
      <c r="F57" s="4" t="s">
        <v>22</v>
      </c>
      <c r="G57" s="4" t="s">
        <v>250</v>
      </c>
      <c r="H57" s="6" t="s">
        <v>251</v>
      </c>
      <c r="I57" s="5" t="s">
        <v>252</v>
      </c>
      <c r="J57" s="4" t="n">
        <v>0.55</v>
      </c>
      <c r="K57" s="4"/>
      <c r="L57" s="4" t="s">
        <v>253</v>
      </c>
      <c r="M57" s="5"/>
      <c r="N57" s="4" t="s">
        <v>27</v>
      </c>
      <c r="O57" s="5" t="s">
        <v>254</v>
      </c>
    </row>
    <row r="58" customFormat="false" ht="60" hidden="false" customHeight="true" outlineLevel="0" collapsed="false">
      <c r="A58" s="7" t="s">
        <v>255</v>
      </c>
      <c r="B58" s="8" t="s">
        <v>18</v>
      </c>
      <c r="C58" s="8" t="s">
        <v>247</v>
      </c>
      <c r="D58" s="8" t="s">
        <v>256</v>
      </c>
      <c r="E58" s="8" t="s">
        <v>257</v>
      </c>
      <c r="F58" s="7" t="s">
        <v>22</v>
      </c>
      <c r="G58" s="7" t="s">
        <v>250</v>
      </c>
      <c r="H58" s="9" t="s">
        <v>251</v>
      </c>
      <c r="I58" s="8" t="s">
        <v>258</v>
      </c>
      <c r="J58" s="7" t="n">
        <v>0.44</v>
      </c>
      <c r="K58" s="7"/>
      <c r="L58" s="7" t="s">
        <v>253</v>
      </c>
      <c r="M58" s="8"/>
      <c r="N58" s="7" t="s">
        <v>27</v>
      </c>
      <c r="O58" s="8" t="s">
        <v>254</v>
      </c>
    </row>
    <row r="59" customFormat="false" ht="60" hidden="false" customHeight="true" outlineLevel="0" collapsed="false">
      <c r="A59" s="4" t="s">
        <v>259</v>
      </c>
      <c r="B59" s="5" t="s">
        <v>18</v>
      </c>
      <c r="C59" s="5" t="s">
        <v>247</v>
      </c>
      <c r="D59" s="5" t="s">
        <v>260</v>
      </c>
      <c r="E59" s="5" t="s">
        <v>261</v>
      </c>
      <c r="F59" s="4" t="s">
        <v>36</v>
      </c>
      <c r="G59" s="4" t="s">
        <v>250</v>
      </c>
      <c r="H59" s="6" t="s">
        <v>251</v>
      </c>
      <c r="I59" s="5" t="s">
        <v>262</v>
      </c>
      <c r="J59" s="4" t="n">
        <v>0.48</v>
      </c>
      <c r="K59" s="4"/>
      <c r="L59" s="4" t="s">
        <v>253</v>
      </c>
      <c r="M59" s="5"/>
      <c r="N59" s="4" t="s">
        <v>27</v>
      </c>
      <c r="O59" s="5" t="s">
        <v>254</v>
      </c>
    </row>
    <row r="60" customFormat="false" ht="60" hidden="false" customHeight="true" outlineLevel="0" collapsed="false">
      <c r="A60" s="7" t="s">
        <v>263</v>
      </c>
      <c r="B60" s="8" t="s">
        <v>18</v>
      </c>
      <c r="C60" s="8" t="s">
        <v>247</v>
      </c>
      <c r="D60" s="8" t="s">
        <v>264</v>
      </c>
      <c r="E60" s="8" t="s">
        <v>265</v>
      </c>
      <c r="F60" s="7" t="s">
        <v>36</v>
      </c>
      <c r="G60" s="7" t="s">
        <v>250</v>
      </c>
      <c r="H60" s="9" t="s">
        <v>251</v>
      </c>
      <c r="I60" s="8" t="s">
        <v>266</v>
      </c>
      <c r="J60" s="7" t="n">
        <v>1.28</v>
      </c>
      <c r="K60" s="7"/>
      <c r="L60" s="7" t="s">
        <v>253</v>
      </c>
      <c r="M60" s="8"/>
      <c r="N60" s="7" t="s">
        <v>27</v>
      </c>
      <c r="O60" s="8" t="s">
        <v>254</v>
      </c>
    </row>
    <row r="61" customFormat="false" ht="60" hidden="false" customHeight="true" outlineLevel="0" collapsed="false">
      <c r="A61" s="4" t="s">
        <v>267</v>
      </c>
      <c r="B61" s="5" t="s">
        <v>18</v>
      </c>
      <c r="C61" s="5" t="s">
        <v>247</v>
      </c>
      <c r="D61" s="5" t="s">
        <v>268</v>
      </c>
      <c r="E61" s="5" t="s">
        <v>269</v>
      </c>
      <c r="F61" s="4" t="s">
        <v>36</v>
      </c>
      <c r="G61" s="4" t="s">
        <v>250</v>
      </c>
      <c r="H61" s="6" t="s">
        <v>251</v>
      </c>
      <c r="I61" s="5" t="s">
        <v>270</v>
      </c>
      <c r="J61" s="4" t="n">
        <v>0.55</v>
      </c>
      <c r="K61" s="4"/>
      <c r="L61" s="4" t="s">
        <v>253</v>
      </c>
      <c r="M61" s="5"/>
      <c r="N61" s="4" t="s">
        <v>27</v>
      </c>
      <c r="O61" s="5" t="s">
        <v>254</v>
      </c>
    </row>
    <row r="62" customFormat="false" ht="60" hidden="false" customHeight="true" outlineLevel="0" collapsed="false">
      <c r="A62" s="7" t="s">
        <v>271</v>
      </c>
      <c r="B62" s="8" t="s">
        <v>18</v>
      </c>
      <c r="C62" s="8" t="s">
        <v>247</v>
      </c>
      <c r="D62" s="8" t="s">
        <v>272</v>
      </c>
      <c r="E62" s="8" t="s">
        <v>273</v>
      </c>
      <c r="F62" s="7" t="s">
        <v>67</v>
      </c>
      <c r="G62" s="7" t="s">
        <v>250</v>
      </c>
      <c r="H62" s="9" t="s">
        <v>251</v>
      </c>
      <c r="I62" s="8" t="s">
        <v>274</v>
      </c>
      <c r="J62" s="7" t="n">
        <v>0.37</v>
      </c>
      <c r="K62" s="7"/>
      <c r="L62" s="7" t="s">
        <v>253</v>
      </c>
      <c r="M62" s="8"/>
      <c r="N62" s="7" t="s">
        <v>27</v>
      </c>
      <c r="O62" s="8" t="s">
        <v>254</v>
      </c>
    </row>
    <row r="63" customFormat="false" ht="60" hidden="false" customHeight="true" outlineLevel="0" collapsed="false">
      <c r="A63" s="4" t="s">
        <v>275</v>
      </c>
      <c r="B63" s="5" t="s">
        <v>18</v>
      </c>
      <c r="C63" s="5" t="s">
        <v>247</v>
      </c>
      <c r="D63" s="5" t="s">
        <v>276</v>
      </c>
      <c r="E63" s="5" t="s">
        <v>277</v>
      </c>
      <c r="F63" s="4" t="s">
        <v>53</v>
      </c>
      <c r="G63" s="4" t="s">
        <v>250</v>
      </c>
      <c r="H63" s="6" t="s">
        <v>251</v>
      </c>
      <c r="I63" s="5" t="s">
        <v>278</v>
      </c>
      <c r="J63" s="4" t="n">
        <v>0.19</v>
      </c>
      <c r="K63" s="4"/>
      <c r="L63" s="4" t="s">
        <v>253</v>
      </c>
      <c r="M63" s="5"/>
      <c r="N63" s="4" t="s">
        <v>27</v>
      </c>
      <c r="O63" s="5" t="s">
        <v>254</v>
      </c>
    </row>
    <row r="64" customFormat="false" ht="60" hidden="false" customHeight="true" outlineLevel="0" collapsed="false">
      <c r="A64" s="7" t="s">
        <v>279</v>
      </c>
      <c r="B64" s="8" t="s">
        <v>18</v>
      </c>
      <c r="C64" s="8" t="s">
        <v>247</v>
      </c>
      <c r="D64" s="8" t="s">
        <v>280</v>
      </c>
      <c r="E64" s="8" t="s">
        <v>281</v>
      </c>
      <c r="F64" s="7" t="s">
        <v>58</v>
      </c>
      <c r="G64" s="7" t="s">
        <v>250</v>
      </c>
      <c r="H64" s="9" t="s">
        <v>251</v>
      </c>
      <c r="I64" s="8" t="s">
        <v>282</v>
      </c>
      <c r="J64" s="7" t="n">
        <v>0.15</v>
      </c>
      <c r="K64" s="7"/>
      <c r="L64" s="7" t="s">
        <v>253</v>
      </c>
      <c r="M64" s="8"/>
      <c r="N64" s="7" t="s">
        <v>27</v>
      </c>
      <c r="O64" s="8" t="s">
        <v>254</v>
      </c>
    </row>
    <row r="65" customFormat="false" ht="60" hidden="false" customHeight="true" outlineLevel="0" collapsed="false">
      <c r="A65" s="4" t="s">
        <v>283</v>
      </c>
      <c r="B65" s="5" t="s">
        <v>18</v>
      </c>
      <c r="C65" s="5" t="s">
        <v>247</v>
      </c>
      <c r="D65" s="5" t="s">
        <v>284</v>
      </c>
      <c r="E65" s="5" t="s">
        <v>285</v>
      </c>
      <c r="F65" s="4" t="s">
        <v>67</v>
      </c>
      <c r="G65" s="4" t="s">
        <v>250</v>
      </c>
      <c r="H65" s="6" t="s">
        <v>251</v>
      </c>
      <c r="I65" s="5" t="s">
        <v>286</v>
      </c>
      <c r="J65" s="4" t="n">
        <v>0.08</v>
      </c>
      <c r="K65" s="4"/>
      <c r="L65" s="4" t="s">
        <v>253</v>
      </c>
      <c r="M65" s="5"/>
      <c r="N65" s="4" t="s">
        <v>27</v>
      </c>
      <c r="O65" s="5" t="s">
        <v>254</v>
      </c>
    </row>
    <row r="66" customFormat="false" ht="60" hidden="false" customHeight="true" outlineLevel="0" collapsed="false">
      <c r="A66" s="7" t="s">
        <v>287</v>
      </c>
      <c r="B66" s="8" t="s">
        <v>18</v>
      </c>
      <c r="C66" s="8" t="s">
        <v>247</v>
      </c>
      <c r="D66" s="8" t="s">
        <v>288</v>
      </c>
      <c r="E66" s="8" t="s">
        <v>289</v>
      </c>
      <c r="F66" s="7" t="s">
        <v>76</v>
      </c>
      <c r="G66" s="7" t="s">
        <v>250</v>
      </c>
      <c r="H66" s="9" t="s">
        <v>251</v>
      </c>
      <c r="I66" s="8" t="s">
        <v>290</v>
      </c>
      <c r="J66" s="7" t="n">
        <v>0.24</v>
      </c>
      <c r="K66" s="7"/>
      <c r="L66" s="7" t="s">
        <v>253</v>
      </c>
      <c r="M66" s="8"/>
      <c r="N66" s="7" t="s">
        <v>27</v>
      </c>
      <c r="O66" s="8" t="s">
        <v>254</v>
      </c>
    </row>
    <row r="67" customFormat="false" ht="60" hidden="false" customHeight="true" outlineLevel="0" collapsed="false">
      <c r="A67" s="4" t="s">
        <v>291</v>
      </c>
      <c r="B67" s="5" t="s">
        <v>292</v>
      </c>
      <c r="C67" s="5" t="s">
        <v>293</v>
      </c>
      <c r="D67" s="5" t="s">
        <v>294</v>
      </c>
      <c r="E67" s="5" t="s">
        <v>295</v>
      </c>
      <c r="F67" s="4" t="s">
        <v>22</v>
      </c>
      <c r="G67" s="4" t="s">
        <v>250</v>
      </c>
      <c r="H67" s="6" t="s">
        <v>251</v>
      </c>
      <c r="I67" s="5" t="s">
        <v>296</v>
      </c>
      <c r="J67" s="4" t="n">
        <v>1.34</v>
      </c>
      <c r="K67" s="4"/>
      <c r="L67" s="4" t="s">
        <v>26</v>
      </c>
      <c r="M67" s="5"/>
      <c r="N67" s="4" t="s">
        <v>27</v>
      </c>
      <c r="O67" s="5" t="s">
        <v>297</v>
      </c>
    </row>
    <row r="68" customFormat="false" ht="60" hidden="false" customHeight="true" outlineLevel="0" collapsed="false">
      <c r="A68" s="7" t="s">
        <v>298</v>
      </c>
      <c r="B68" s="8" t="s">
        <v>292</v>
      </c>
      <c r="C68" s="8" t="s">
        <v>293</v>
      </c>
      <c r="D68" s="8" t="s">
        <v>299</v>
      </c>
      <c r="E68" s="8" t="s">
        <v>300</v>
      </c>
      <c r="F68" s="7" t="s">
        <v>22</v>
      </c>
      <c r="G68" s="7" t="s">
        <v>250</v>
      </c>
      <c r="H68" s="9" t="s">
        <v>251</v>
      </c>
      <c r="I68" s="8" t="s">
        <v>301</v>
      </c>
      <c r="J68" s="7" t="n">
        <v>1.08</v>
      </c>
      <c r="K68" s="7"/>
      <c r="L68" s="7" t="s">
        <v>26</v>
      </c>
      <c r="M68" s="8"/>
      <c r="N68" s="7" t="s">
        <v>27</v>
      </c>
      <c r="O68" s="8" t="s">
        <v>297</v>
      </c>
    </row>
    <row r="69" customFormat="false" ht="60" hidden="false" customHeight="true" outlineLevel="0" collapsed="false">
      <c r="A69" s="4" t="s">
        <v>302</v>
      </c>
      <c r="B69" s="5" t="s">
        <v>292</v>
      </c>
      <c r="C69" s="5" t="s">
        <v>293</v>
      </c>
      <c r="D69" s="5" t="s">
        <v>303</v>
      </c>
      <c r="E69" s="5" t="s">
        <v>304</v>
      </c>
      <c r="F69" s="4" t="s">
        <v>36</v>
      </c>
      <c r="G69" s="4" t="s">
        <v>250</v>
      </c>
      <c r="H69" s="6" t="s">
        <v>251</v>
      </c>
      <c r="I69" s="5" t="s">
        <v>305</v>
      </c>
      <c r="J69" s="4" t="n">
        <v>1.17</v>
      </c>
      <c r="K69" s="4"/>
      <c r="L69" s="4" t="s">
        <v>26</v>
      </c>
      <c r="M69" s="5"/>
      <c r="N69" s="4" t="s">
        <v>27</v>
      </c>
      <c r="O69" s="5" t="s">
        <v>297</v>
      </c>
    </row>
    <row r="70" customFormat="false" ht="60" hidden="false" customHeight="true" outlineLevel="0" collapsed="false">
      <c r="A70" s="7" t="s">
        <v>306</v>
      </c>
      <c r="B70" s="8" t="s">
        <v>292</v>
      </c>
      <c r="C70" s="8" t="s">
        <v>293</v>
      </c>
      <c r="D70" s="8" t="s">
        <v>307</v>
      </c>
      <c r="E70" s="8" t="s">
        <v>308</v>
      </c>
      <c r="F70" s="7" t="s">
        <v>36</v>
      </c>
      <c r="G70" s="7" t="s">
        <v>250</v>
      </c>
      <c r="H70" s="9" t="s">
        <v>251</v>
      </c>
      <c r="I70" s="8" t="s">
        <v>309</v>
      </c>
      <c r="J70" s="7" t="n">
        <v>3.14</v>
      </c>
      <c r="K70" s="7"/>
      <c r="L70" s="7" t="s">
        <v>26</v>
      </c>
      <c r="M70" s="8"/>
      <c r="N70" s="7" t="s">
        <v>27</v>
      </c>
      <c r="O70" s="8" t="s">
        <v>297</v>
      </c>
    </row>
    <row r="71" customFormat="false" ht="60" hidden="false" customHeight="true" outlineLevel="0" collapsed="false">
      <c r="A71" s="4" t="s">
        <v>310</v>
      </c>
      <c r="B71" s="5" t="s">
        <v>292</v>
      </c>
      <c r="C71" s="5" t="s">
        <v>293</v>
      </c>
      <c r="D71" s="5" t="s">
        <v>311</v>
      </c>
      <c r="E71" s="5" t="s">
        <v>312</v>
      </c>
      <c r="F71" s="4" t="s">
        <v>36</v>
      </c>
      <c r="G71" s="4" t="s">
        <v>250</v>
      </c>
      <c r="H71" s="6" t="s">
        <v>251</v>
      </c>
      <c r="I71" s="5" t="s">
        <v>313</v>
      </c>
      <c r="J71" s="4" t="n">
        <v>1.34</v>
      </c>
      <c r="K71" s="4"/>
      <c r="L71" s="4" t="s">
        <v>26</v>
      </c>
      <c r="M71" s="5"/>
      <c r="N71" s="4" t="s">
        <v>27</v>
      </c>
      <c r="O71" s="5" t="s">
        <v>297</v>
      </c>
    </row>
    <row r="72" customFormat="false" ht="60" hidden="false" customHeight="true" outlineLevel="0" collapsed="false">
      <c r="A72" s="7" t="s">
        <v>314</v>
      </c>
      <c r="B72" s="8" t="s">
        <v>292</v>
      </c>
      <c r="C72" s="8" t="s">
        <v>293</v>
      </c>
      <c r="D72" s="8" t="s">
        <v>315</v>
      </c>
      <c r="E72" s="8" t="s">
        <v>316</v>
      </c>
      <c r="F72" s="7" t="s">
        <v>67</v>
      </c>
      <c r="G72" s="7" t="s">
        <v>250</v>
      </c>
      <c r="H72" s="9" t="s">
        <v>251</v>
      </c>
      <c r="I72" s="8" t="s">
        <v>317</v>
      </c>
      <c r="J72" s="7" t="n">
        <v>0.9</v>
      </c>
      <c r="K72" s="7"/>
      <c r="L72" s="7" t="s">
        <v>26</v>
      </c>
      <c r="M72" s="8"/>
      <c r="N72" s="7" t="s">
        <v>27</v>
      </c>
      <c r="O72" s="8" t="s">
        <v>297</v>
      </c>
    </row>
    <row r="73" customFormat="false" ht="60" hidden="false" customHeight="true" outlineLevel="0" collapsed="false">
      <c r="A73" s="4" t="s">
        <v>318</v>
      </c>
      <c r="B73" s="5" t="s">
        <v>292</v>
      </c>
      <c r="C73" s="5" t="s">
        <v>293</v>
      </c>
      <c r="D73" s="5" t="s">
        <v>319</v>
      </c>
      <c r="E73" s="5" t="s">
        <v>320</v>
      </c>
      <c r="F73" s="4" t="s">
        <v>53</v>
      </c>
      <c r="G73" s="4" t="s">
        <v>250</v>
      </c>
      <c r="H73" s="6" t="s">
        <v>251</v>
      </c>
      <c r="I73" s="5" t="s">
        <v>321</v>
      </c>
      <c r="J73" s="4" t="n">
        <v>1.52</v>
      </c>
      <c r="K73" s="4"/>
      <c r="L73" s="4" t="s">
        <v>26</v>
      </c>
      <c r="M73" s="5"/>
      <c r="N73" s="4" t="s">
        <v>27</v>
      </c>
      <c r="O73" s="5" t="s">
        <v>297</v>
      </c>
    </row>
    <row r="74" customFormat="false" ht="60" hidden="false" customHeight="true" outlineLevel="0" collapsed="false">
      <c r="A74" s="7" t="s">
        <v>322</v>
      </c>
      <c r="B74" s="8" t="s">
        <v>292</v>
      </c>
      <c r="C74" s="8" t="s">
        <v>293</v>
      </c>
      <c r="D74" s="8" t="s">
        <v>323</v>
      </c>
      <c r="E74" s="8" t="s">
        <v>324</v>
      </c>
      <c r="F74" s="7" t="s">
        <v>58</v>
      </c>
      <c r="G74" s="7" t="s">
        <v>250</v>
      </c>
      <c r="H74" s="9" t="s">
        <v>251</v>
      </c>
      <c r="I74" s="8" t="s">
        <v>325</v>
      </c>
      <c r="J74" s="7" t="n">
        <v>1.18</v>
      </c>
      <c r="K74" s="7"/>
      <c r="L74" s="7" t="s">
        <v>26</v>
      </c>
      <c r="M74" s="8"/>
      <c r="N74" s="7" t="s">
        <v>27</v>
      </c>
      <c r="O74" s="8" t="s">
        <v>297</v>
      </c>
    </row>
    <row r="75" customFormat="false" ht="60" hidden="false" customHeight="true" outlineLevel="0" collapsed="false">
      <c r="A75" s="4" t="s">
        <v>326</v>
      </c>
      <c r="B75" s="5" t="s">
        <v>292</v>
      </c>
      <c r="C75" s="5" t="s">
        <v>293</v>
      </c>
      <c r="D75" s="5" t="s">
        <v>327</v>
      </c>
      <c r="E75" s="5" t="s">
        <v>328</v>
      </c>
      <c r="F75" s="4" t="s">
        <v>67</v>
      </c>
      <c r="G75" s="4" t="s">
        <v>250</v>
      </c>
      <c r="H75" s="6" t="s">
        <v>251</v>
      </c>
      <c r="I75" s="5" t="s">
        <v>329</v>
      </c>
      <c r="J75" s="4" t="n">
        <v>0.68</v>
      </c>
      <c r="K75" s="4"/>
      <c r="L75" s="4" t="s">
        <v>26</v>
      </c>
      <c r="M75" s="5"/>
      <c r="N75" s="4" t="s">
        <v>27</v>
      </c>
      <c r="O75" s="5" t="s">
        <v>297</v>
      </c>
    </row>
    <row r="76" customFormat="false" ht="60" hidden="false" customHeight="true" outlineLevel="0" collapsed="false">
      <c r="A76" s="7" t="s">
        <v>330</v>
      </c>
      <c r="B76" s="8" t="s">
        <v>292</v>
      </c>
      <c r="C76" s="8" t="s">
        <v>293</v>
      </c>
      <c r="D76" s="8" t="s">
        <v>331</v>
      </c>
      <c r="E76" s="8" t="s">
        <v>332</v>
      </c>
      <c r="F76" s="7" t="s">
        <v>76</v>
      </c>
      <c r="G76" s="7" t="s">
        <v>250</v>
      </c>
      <c r="H76" s="9" t="s">
        <v>251</v>
      </c>
      <c r="I76" s="8" t="s">
        <v>333</v>
      </c>
      <c r="J76" s="7" t="n">
        <v>1.19</v>
      </c>
      <c r="K76" s="7"/>
      <c r="L76" s="7" t="s">
        <v>26</v>
      </c>
      <c r="M76" s="8"/>
      <c r="N76" s="7" t="s">
        <v>27</v>
      </c>
      <c r="O76" s="8" t="s">
        <v>297</v>
      </c>
    </row>
    <row r="77" customFormat="false" ht="60" hidden="false" customHeight="true" outlineLevel="0" collapsed="false">
      <c r="A77" s="4" t="s">
        <v>334</v>
      </c>
      <c r="B77" s="5" t="s">
        <v>292</v>
      </c>
      <c r="C77" s="5" t="s">
        <v>335</v>
      </c>
      <c r="D77" s="5" t="s">
        <v>336</v>
      </c>
      <c r="E77" s="5" t="s">
        <v>337</v>
      </c>
      <c r="F77" s="4" t="s">
        <v>22</v>
      </c>
      <c r="G77" s="4" t="s">
        <v>250</v>
      </c>
      <c r="H77" s="6" t="s">
        <v>251</v>
      </c>
      <c r="I77" s="5" t="s">
        <v>338</v>
      </c>
      <c r="J77" s="4" t="n">
        <v>2.15</v>
      </c>
      <c r="K77" s="4"/>
      <c r="L77" s="4" t="s">
        <v>26</v>
      </c>
      <c r="M77" s="5"/>
      <c r="N77" s="4" t="s">
        <v>27</v>
      </c>
      <c r="O77" s="5" t="s">
        <v>339</v>
      </c>
    </row>
    <row r="78" customFormat="false" ht="60" hidden="false" customHeight="true" outlineLevel="0" collapsed="false">
      <c r="A78" s="7" t="s">
        <v>340</v>
      </c>
      <c r="B78" s="8" t="s">
        <v>292</v>
      </c>
      <c r="C78" s="8" t="s">
        <v>335</v>
      </c>
      <c r="D78" s="8" t="s">
        <v>341</v>
      </c>
      <c r="E78" s="8" t="s">
        <v>342</v>
      </c>
      <c r="F78" s="7" t="s">
        <v>22</v>
      </c>
      <c r="G78" s="7" t="s">
        <v>250</v>
      </c>
      <c r="H78" s="9" t="s">
        <v>251</v>
      </c>
      <c r="I78" s="8" t="s">
        <v>343</v>
      </c>
      <c r="J78" s="7" t="n">
        <v>1.72</v>
      </c>
      <c r="K78" s="7"/>
      <c r="L78" s="7" t="s">
        <v>26</v>
      </c>
      <c r="M78" s="8"/>
      <c r="N78" s="7" t="s">
        <v>27</v>
      </c>
      <c r="O78" s="8" t="s">
        <v>339</v>
      </c>
    </row>
    <row r="79" customFormat="false" ht="60" hidden="false" customHeight="true" outlineLevel="0" collapsed="false">
      <c r="A79" s="4" t="s">
        <v>344</v>
      </c>
      <c r="B79" s="5" t="s">
        <v>292</v>
      </c>
      <c r="C79" s="5" t="s">
        <v>335</v>
      </c>
      <c r="D79" s="5" t="s">
        <v>345</v>
      </c>
      <c r="E79" s="5" t="s">
        <v>346</v>
      </c>
      <c r="F79" s="4" t="s">
        <v>36</v>
      </c>
      <c r="G79" s="4" t="s">
        <v>250</v>
      </c>
      <c r="H79" s="6" t="s">
        <v>251</v>
      </c>
      <c r="I79" s="5" t="s">
        <v>347</v>
      </c>
      <c r="J79" s="4" t="n">
        <v>1.86</v>
      </c>
      <c r="K79" s="4"/>
      <c r="L79" s="4" t="s">
        <v>26</v>
      </c>
      <c r="M79" s="5"/>
      <c r="N79" s="4" t="s">
        <v>27</v>
      </c>
      <c r="O79" s="5" t="s">
        <v>339</v>
      </c>
    </row>
    <row r="80" customFormat="false" ht="60" hidden="false" customHeight="true" outlineLevel="0" collapsed="false">
      <c r="A80" s="7" t="s">
        <v>348</v>
      </c>
      <c r="B80" s="8" t="s">
        <v>292</v>
      </c>
      <c r="C80" s="8" t="s">
        <v>335</v>
      </c>
      <c r="D80" s="8" t="s">
        <v>349</v>
      </c>
      <c r="E80" s="8" t="s">
        <v>350</v>
      </c>
      <c r="F80" s="7" t="s">
        <v>36</v>
      </c>
      <c r="G80" s="7" t="s">
        <v>250</v>
      </c>
      <c r="H80" s="9" t="s">
        <v>251</v>
      </c>
      <c r="I80" s="8" t="s">
        <v>351</v>
      </c>
      <c r="J80" s="7" t="n">
        <v>5.02</v>
      </c>
      <c r="K80" s="7"/>
      <c r="L80" s="7" t="s">
        <v>26</v>
      </c>
      <c r="M80" s="8"/>
      <c r="N80" s="7" t="s">
        <v>27</v>
      </c>
      <c r="O80" s="8" t="s">
        <v>339</v>
      </c>
    </row>
    <row r="81" customFormat="false" ht="60" hidden="false" customHeight="true" outlineLevel="0" collapsed="false">
      <c r="A81" s="4" t="s">
        <v>352</v>
      </c>
      <c r="B81" s="5" t="s">
        <v>292</v>
      </c>
      <c r="C81" s="5" t="s">
        <v>335</v>
      </c>
      <c r="D81" s="5" t="s">
        <v>353</v>
      </c>
      <c r="E81" s="5" t="s">
        <v>354</v>
      </c>
      <c r="F81" s="4" t="s">
        <v>36</v>
      </c>
      <c r="G81" s="4" t="s">
        <v>250</v>
      </c>
      <c r="H81" s="6" t="s">
        <v>251</v>
      </c>
      <c r="I81" s="5" t="s">
        <v>355</v>
      </c>
      <c r="J81" s="4" t="n">
        <v>2.15</v>
      </c>
      <c r="K81" s="4"/>
      <c r="L81" s="4" t="s">
        <v>26</v>
      </c>
      <c r="M81" s="5"/>
      <c r="N81" s="4" t="s">
        <v>27</v>
      </c>
      <c r="O81" s="5" t="s">
        <v>339</v>
      </c>
    </row>
    <row r="82" customFormat="false" ht="60" hidden="false" customHeight="true" outlineLevel="0" collapsed="false">
      <c r="A82" s="7" t="s">
        <v>356</v>
      </c>
      <c r="B82" s="8" t="s">
        <v>292</v>
      </c>
      <c r="C82" s="8" t="s">
        <v>335</v>
      </c>
      <c r="D82" s="8" t="s">
        <v>357</v>
      </c>
      <c r="E82" s="8" t="s">
        <v>358</v>
      </c>
      <c r="F82" s="7" t="s">
        <v>67</v>
      </c>
      <c r="G82" s="7" t="s">
        <v>250</v>
      </c>
      <c r="H82" s="9" t="s">
        <v>251</v>
      </c>
      <c r="I82" s="8" t="s">
        <v>359</v>
      </c>
      <c r="J82" s="7" t="n">
        <v>1.43</v>
      </c>
      <c r="K82" s="7"/>
      <c r="L82" s="7" t="s">
        <v>26</v>
      </c>
      <c r="M82" s="8"/>
      <c r="N82" s="7" t="s">
        <v>27</v>
      </c>
      <c r="O82" s="8" t="s">
        <v>339</v>
      </c>
    </row>
    <row r="83" customFormat="false" ht="60" hidden="false" customHeight="true" outlineLevel="0" collapsed="false">
      <c r="A83" s="4" t="s">
        <v>360</v>
      </c>
      <c r="B83" s="5" t="s">
        <v>292</v>
      </c>
      <c r="C83" s="5" t="s">
        <v>335</v>
      </c>
      <c r="D83" s="5" t="s">
        <v>361</v>
      </c>
      <c r="E83" s="5" t="s">
        <v>362</v>
      </c>
      <c r="F83" s="4" t="s">
        <v>53</v>
      </c>
      <c r="G83" s="4" t="s">
        <v>250</v>
      </c>
      <c r="H83" s="6" t="s">
        <v>251</v>
      </c>
      <c r="I83" s="5" t="s">
        <v>363</v>
      </c>
      <c r="J83" s="4" t="n">
        <v>2.43</v>
      </c>
      <c r="K83" s="4"/>
      <c r="L83" s="4" t="s">
        <v>26</v>
      </c>
      <c r="M83" s="5"/>
      <c r="N83" s="4" t="s">
        <v>27</v>
      </c>
      <c r="O83" s="5" t="s">
        <v>339</v>
      </c>
    </row>
    <row r="84" customFormat="false" ht="60" hidden="false" customHeight="true" outlineLevel="0" collapsed="false">
      <c r="A84" s="7" t="s">
        <v>364</v>
      </c>
      <c r="B84" s="8" t="s">
        <v>292</v>
      </c>
      <c r="C84" s="8" t="s">
        <v>335</v>
      </c>
      <c r="D84" s="8" t="s">
        <v>365</v>
      </c>
      <c r="E84" s="8" t="s">
        <v>366</v>
      </c>
      <c r="F84" s="7" t="s">
        <v>58</v>
      </c>
      <c r="G84" s="7" t="s">
        <v>250</v>
      </c>
      <c r="H84" s="9" t="s">
        <v>251</v>
      </c>
      <c r="I84" s="8" t="s">
        <v>367</v>
      </c>
      <c r="J84" s="7" t="n">
        <v>1.89</v>
      </c>
      <c r="K84" s="7"/>
      <c r="L84" s="7" t="s">
        <v>26</v>
      </c>
      <c r="M84" s="8"/>
      <c r="N84" s="7" t="s">
        <v>27</v>
      </c>
      <c r="O84" s="8" t="s">
        <v>339</v>
      </c>
    </row>
    <row r="85" customFormat="false" ht="60" hidden="false" customHeight="true" outlineLevel="0" collapsed="false">
      <c r="A85" s="4" t="s">
        <v>368</v>
      </c>
      <c r="B85" s="5" t="s">
        <v>292</v>
      </c>
      <c r="C85" s="5" t="s">
        <v>335</v>
      </c>
      <c r="D85" s="5" t="s">
        <v>369</v>
      </c>
      <c r="E85" s="5" t="s">
        <v>370</v>
      </c>
      <c r="F85" s="4" t="s">
        <v>67</v>
      </c>
      <c r="G85" s="4" t="s">
        <v>250</v>
      </c>
      <c r="H85" s="6" t="s">
        <v>251</v>
      </c>
      <c r="I85" s="5" t="s">
        <v>371</v>
      </c>
      <c r="J85" s="4" t="n">
        <v>1.08</v>
      </c>
      <c r="K85" s="4"/>
      <c r="L85" s="4" t="s">
        <v>26</v>
      </c>
      <c r="M85" s="5"/>
      <c r="N85" s="4" t="s">
        <v>27</v>
      </c>
      <c r="O85" s="5" t="s">
        <v>339</v>
      </c>
    </row>
    <row r="86" customFormat="false" ht="60" hidden="false" customHeight="true" outlineLevel="0" collapsed="false">
      <c r="A86" s="7" t="s">
        <v>372</v>
      </c>
      <c r="B86" s="8" t="s">
        <v>292</v>
      </c>
      <c r="C86" s="8" t="s">
        <v>335</v>
      </c>
      <c r="D86" s="8" t="s">
        <v>373</v>
      </c>
      <c r="E86" s="8" t="s">
        <v>374</v>
      </c>
      <c r="F86" s="7" t="s">
        <v>76</v>
      </c>
      <c r="G86" s="7" t="s">
        <v>250</v>
      </c>
      <c r="H86" s="9" t="s">
        <v>251</v>
      </c>
      <c r="I86" s="8" t="s">
        <v>375</v>
      </c>
      <c r="J86" s="7" t="n">
        <v>1.91</v>
      </c>
      <c r="K86" s="7"/>
      <c r="L86" s="7" t="s">
        <v>26</v>
      </c>
      <c r="M86" s="8"/>
      <c r="N86" s="7" t="s">
        <v>27</v>
      </c>
      <c r="O86" s="8" t="s">
        <v>339</v>
      </c>
    </row>
    <row r="87" customFormat="false" ht="60" hidden="false" customHeight="true" outlineLevel="0" collapsed="false">
      <c r="A87" s="4" t="s">
        <v>376</v>
      </c>
      <c r="B87" s="5" t="s">
        <v>292</v>
      </c>
      <c r="C87" s="5" t="s">
        <v>377</v>
      </c>
      <c r="D87" s="5" t="s">
        <v>336</v>
      </c>
      <c r="E87" s="5" t="s">
        <v>378</v>
      </c>
      <c r="F87" s="4" t="s">
        <v>22</v>
      </c>
      <c r="G87" s="4" t="s">
        <v>379</v>
      </c>
      <c r="H87" s="6" t="s">
        <v>380</v>
      </c>
      <c r="I87" s="5" t="s">
        <v>381</v>
      </c>
      <c r="J87" s="4" t="n">
        <v>2.75</v>
      </c>
      <c r="K87" s="4"/>
      <c r="L87" s="4" t="s">
        <v>26</v>
      </c>
      <c r="M87" s="5"/>
      <c r="N87" s="4" t="s">
        <v>27</v>
      </c>
      <c r="O87" s="5" t="s">
        <v>382</v>
      </c>
    </row>
    <row r="88" customFormat="false" ht="60" hidden="false" customHeight="true" outlineLevel="0" collapsed="false">
      <c r="A88" s="7" t="s">
        <v>383</v>
      </c>
      <c r="B88" s="8" t="s">
        <v>292</v>
      </c>
      <c r="C88" s="8" t="s">
        <v>377</v>
      </c>
      <c r="D88" s="8" t="s">
        <v>341</v>
      </c>
      <c r="E88" s="8" t="s">
        <v>384</v>
      </c>
      <c r="F88" s="7" t="s">
        <v>22</v>
      </c>
      <c r="G88" s="7" t="s">
        <v>379</v>
      </c>
      <c r="H88" s="9" t="s">
        <v>380</v>
      </c>
      <c r="I88" s="8" t="s">
        <v>385</v>
      </c>
      <c r="J88" s="7" t="n">
        <v>2.2</v>
      </c>
      <c r="K88" s="7"/>
      <c r="L88" s="7" t="s">
        <v>26</v>
      </c>
      <c r="M88" s="8"/>
      <c r="N88" s="7" t="s">
        <v>27</v>
      </c>
      <c r="O88" s="8" t="s">
        <v>382</v>
      </c>
    </row>
    <row r="89" customFormat="false" ht="60" hidden="false" customHeight="true" outlineLevel="0" collapsed="false">
      <c r="A89" s="4" t="s">
        <v>386</v>
      </c>
      <c r="B89" s="5" t="s">
        <v>292</v>
      </c>
      <c r="C89" s="5" t="s">
        <v>377</v>
      </c>
      <c r="D89" s="5" t="s">
        <v>345</v>
      </c>
      <c r="E89" s="5" t="s">
        <v>387</v>
      </c>
      <c r="F89" s="4" t="s">
        <v>36</v>
      </c>
      <c r="G89" s="4" t="s">
        <v>379</v>
      </c>
      <c r="H89" s="6" t="s">
        <v>380</v>
      </c>
      <c r="I89" s="5" t="s">
        <v>388</v>
      </c>
      <c r="J89" s="4" t="n">
        <v>2.38</v>
      </c>
      <c r="K89" s="4"/>
      <c r="L89" s="4" t="s">
        <v>26</v>
      </c>
      <c r="M89" s="5"/>
      <c r="N89" s="4" t="s">
        <v>27</v>
      </c>
      <c r="O89" s="5" t="s">
        <v>382</v>
      </c>
    </row>
    <row r="90" customFormat="false" ht="60" hidden="false" customHeight="true" outlineLevel="0" collapsed="false">
      <c r="A90" s="7" t="s">
        <v>389</v>
      </c>
      <c r="B90" s="8" t="s">
        <v>292</v>
      </c>
      <c r="C90" s="8" t="s">
        <v>377</v>
      </c>
      <c r="D90" s="8" t="s">
        <v>390</v>
      </c>
      <c r="E90" s="8" t="s">
        <v>391</v>
      </c>
      <c r="F90" s="7" t="s">
        <v>36</v>
      </c>
      <c r="G90" s="7" t="s">
        <v>379</v>
      </c>
      <c r="H90" s="9" t="s">
        <v>380</v>
      </c>
      <c r="I90" s="8" t="s">
        <v>392</v>
      </c>
      <c r="J90" s="7" t="n">
        <v>6.42</v>
      </c>
      <c r="K90" s="7"/>
      <c r="L90" s="7" t="s">
        <v>26</v>
      </c>
      <c r="M90" s="8"/>
      <c r="N90" s="7" t="s">
        <v>27</v>
      </c>
      <c r="O90" s="8" t="s">
        <v>382</v>
      </c>
    </row>
    <row r="91" customFormat="false" ht="60" hidden="false" customHeight="true" outlineLevel="0" collapsed="false">
      <c r="A91" s="4" t="s">
        <v>393</v>
      </c>
      <c r="B91" s="5" t="s">
        <v>292</v>
      </c>
      <c r="C91" s="5" t="s">
        <v>377</v>
      </c>
      <c r="D91" s="5" t="s">
        <v>394</v>
      </c>
      <c r="E91" s="5" t="s">
        <v>395</v>
      </c>
      <c r="F91" s="4" t="s">
        <v>36</v>
      </c>
      <c r="G91" s="4" t="s">
        <v>379</v>
      </c>
      <c r="H91" s="6" t="s">
        <v>380</v>
      </c>
      <c r="I91" s="5" t="s">
        <v>396</v>
      </c>
      <c r="J91" s="4" t="n">
        <v>2.75</v>
      </c>
      <c r="K91" s="4"/>
      <c r="L91" s="4" t="s">
        <v>26</v>
      </c>
      <c r="M91" s="5"/>
      <c r="N91" s="4" t="s">
        <v>27</v>
      </c>
      <c r="O91" s="5" t="s">
        <v>382</v>
      </c>
    </row>
    <row r="92" customFormat="false" ht="60" hidden="false" customHeight="true" outlineLevel="0" collapsed="false">
      <c r="A92" s="7" t="s">
        <v>397</v>
      </c>
      <c r="B92" s="8" t="s">
        <v>292</v>
      </c>
      <c r="C92" s="8" t="s">
        <v>377</v>
      </c>
      <c r="D92" s="8" t="s">
        <v>398</v>
      </c>
      <c r="E92" s="8" t="s">
        <v>399</v>
      </c>
      <c r="F92" s="7" t="s">
        <v>67</v>
      </c>
      <c r="G92" s="7" t="s">
        <v>379</v>
      </c>
      <c r="H92" s="9" t="s">
        <v>380</v>
      </c>
      <c r="I92" s="8" t="s">
        <v>400</v>
      </c>
      <c r="J92" s="7" t="n">
        <v>1.83</v>
      </c>
      <c r="K92" s="7"/>
      <c r="L92" s="7" t="s">
        <v>26</v>
      </c>
      <c r="M92" s="8"/>
      <c r="N92" s="7" t="s">
        <v>27</v>
      </c>
      <c r="O92" s="8" t="s">
        <v>382</v>
      </c>
    </row>
    <row r="93" customFormat="false" ht="60" hidden="false" customHeight="true" outlineLevel="0" collapsed="false">
      <c r="A93" s="4" t="s">
        <v>401</v>
      </c>
      <c r="B93" s="5" t="s">
        <v>292</v>
      </c>
      <c r="C93" s="5" t="s">
        <v>377</v>
      </c>
      <c r="D93" s="5" t="s">
        <v>402</v>
      </c>
      <c r="E93" s="5" t="s">
        <v>403</v>
      </c>
      <c r="F93" s="4" t="s">
        <v>53</v>
      </c>
      <c r="G93" s="4" t="s">
        <v>379</v>
      </c>
      <c r="H93" s="6" t="s">
        <v>380</v>
      </c>
      <c r="I93" s="5" t="s">
        <v>404</v>
      </c>
      <c r="J93" s="4" t="n">
        <v>0.93</v>
      </c>
      <c r="K93" s="4"/>
      <c r="L93" s="4" t="s">
        <v>26</v>
      </c>
      <c r="M93" s="5"/>
      <c r="N93" s="4" t="s">
        <v>27</v>
      </c>
      <c r="O93" s="5" t="s">
        <v>382</v>
      </c>
    </row>
    <row r="94" customFormat="false" ht="60" hidden="false" customHeight="true" outlineLevel="0" collapsed="false">
      <c r="A94" s="7" t="s">
        <v>405</v>
      </c>
      <c r="B94" s="8" t="s">
        <v>292</v>
      </c>
      <c r="C94" s="8" t="s">
        <v>377</v>
      </c>
      <c r="D94" s="8" t="s">
        <v>406</v>
      </c>
      <c r="E94" s="8" t="s">
        <v>407</v>
      </c>
      <c r="F94" s="7" t="s">
        <v>58</v>
      </c>
      <c r="G94" s="7" t="s">
        <v>379</v>
      </c>
      <c r="H94" s="9" t="s">
        <v>380</v>
      </c>
      <c r="I94" s="8" t="s">
        <v>408</v>
      </c>
      <c r="J94" s="7" t="n">
        <v>0.73</v>
      </c>
      <c r="K94" s="7"/>
      <c r="L94" s="7" t="s">
        <v>26</v>
      </c>
      <c r="M94" s="8"/>
      <c r="N94" s="7" t="s">
        <v>27</v>
      </c>
      <c r="O94" s="8" t="s">
        <v>382</v>
      </c>
    </row>
    <row r="95" customFormat="false" ht="60" hidden="false" customHeight="true" outlineLevel="0" collapsed="false">
      <c r="A95" s="4" t="s">
        <v>409</v>
      </c>
      <c r="B95" s="5" t="s">
        <v>292</v>
      </c>
      <c r="C95" s="5" t="s">
        <v>377</v>
      </c>
      <c r="D95" s="5" t="s">
        <v>410</v>
      </c>
      <c r="E95" s="5" t="s">
        <v>411</v>
      </c>
      <c r="F95" s="4" t="s">
        <v>67</v>
      </c>
      <c r="G95" s="4" t="s">
        <v>379</v>
      </c>
      <c r="H95" s="6" t="s">
        <v>380</v>
      </c>
      <c r="I95" s="5" t="s">
        <v>412</v>
      </c>
      <c r="J95" s="4" t="n">
        <v>0.42</v>
      </c>
      <c r="K95" s="4"/>
      <c r="L95" s="4" t="s">
        <v>26</v>
      </c>
      <c r="M95" s="5"/>
      <c r="N95" s="4" t="s">
        <v>27</v>
      </c>
      <c r="O95" s="5" t="s">
        <v>382</v>
      </c>
    </row>
    <row r="96" customFormat="false" ht="60" hidden="false" customHeight="true" outlineLevel="0" collapsed="false">
      <c r="A96" s="7" t="s">
        <v>413</v>
      </c>
      <c r="B96" s="8" t="s">
        <v>292</v>
      </c>
      <c r="C96" s="8" t="s">
        <v>377</v>
      </c>
      <c r="D96" s="8" t="s">
        <v>414</v>
      </c>
      <c r="E96" s="8" t="s">
        <v>415</v>
      </c>
      <c r="F96" s="7" t="s">
        <v>76</v>
      </c>
      <c r="G96" s="7" t="s">
        <v>379</v>
      </c>
      <c r="H96" s="9" t="s">
        <v>380</v>
      </c>
      <c r="I96" s="8" t="s">
        <v>416</v>
      </c>
      <c r="J96" s="7" t="n">
        <v>1.21</v>
      </c>
      <c r="K96" s="7"/>
      <c r="L96" s="7" t="s">
        <v>26</v>
      </c>
      <c r="M96" s="8"/>
      <c r="N96" s="7" t="s">
        <v>27</v>
      </c>
      <c r="O96" s="8" t="s">
        <v>382</v>
      </c>
    </row>
    <row r="97" customFormat="false" ht="60" hidden="false" customHeight="true" outlineLevel="0" collapsed="false">
      <c r="A97" s="4" t="s">
        <v>417</v>
      </c>
      <c r="B97" s="5" t="s">
        <v>292</v>
      </c>
      <c r="C97" s="5" t="s">
        <v>418</v>
      </c>
      <c r="D97" s="5" t="s">
        <v>336</v>
      </c>
      <c r="E97" s="5" t="s">
        <v>337</v>
      </c>
      <c r="F97" s="4" t="s">
        <v>22</v>
      </c>
      <c r="G97" s="4" t="s">
        <v>379</v>
      </c>
      <c r="H97" s="6" t="s">
        <v>380</v>
      </c>
      <c r="I97" s="5" t="s">
        <v>419</v>
      </c>
      <c r="J97" s="4" t="n">
        <v>1.72</v>
      </c>
      <c r="K97" s="4"/>
      <c r="L97" s="4" t="s">
        <v>26</v>
      </c>
      <c r="M97" s="5"/>
      <c r="N97" s="4" t="s">
        <v>27</v>
      </c>
      <c r="O97" s="5" t="s">
        <v>420</v>
      </c>
    </row>
    <row r="98" customFormat="false" ht="60" hidden="false" customHeight="true" outlineLevel="0" collapsed="false">
      <c r="A98" s="7" t="s">
        <v>421</v>
      </c>
      <c r="B98" s="8" t="s">
        <v>292</v>
      </c>
      <c r="C98" s="8" t="s">
        <v>418</v>
      </c>
      <c r="D98" s="8" t="s">
        <v>341</v>
      </c>
      <c r="E98" s="8" t="s">
        <v>342</v>
      </c>
      <c r="F98" s="7" t="s">
        <v>22</v>
      </c>
      <c r="G98" s="7" t="s">
        <v>379</v>
      </c>
      <c r="H98" s="9" t="s">
        <v>380</v>
      </c>
      <c r="I98" s="8" t="s">
        <v>422</v>
      </c>
      <c r="J98" s="7" t="n">
        <v>1.38</v>
      </c>
      <c r="K98" s="7"/>
      <c r="L98" s="7" t="s">
        <v>26</v>
      </c>
      <c r="M98" s="8"/>
      <c r="N98" s="7" t="s">
        <v>27</v>
      </c>
      <c r="O98" s="8" t="s">
        <v>420</v>
      </c>
    </row>
    <row r="99" customFormat="false" ht="60" hidden="false" customHeight="true" outlineLevel="0" collapsed="false">
      <c r="A99" s="4" t="s">
        <v>423</v>
      </c>
      <c r="B99" s="5" t="s">
        <v>292</v>
      </c>
      <c r="C99" s="5" t="s">
        <v>418</v>
      </c>
      <c r="D99" s="5" t="s">
        <v>345</v>
      </c>
      <c r="E99" s="5" t="s">
        <v>346</v>
      </c>
      <c r="F99" s="4" t="s">
        <v>36</v>
      </c>
      <c r="G99" s="4" t="s">
        <v>379</v>
      </c>
      <c r="H99" s="6" t="s">
        <v>380</v>
      </c>
      <c r="I99" s="5" t="s">
        <v>424</v>
      </c>
      <c r="J99" s="4" t="n">
        <v>1.49</v>
      </c>
      <c r="K99" s="4"/>
      <c r="L99" s="4" t="s">
        <v>26</v>
      </c>
      <c r="M99" s="5"/>
      <c r="N99" s="4" t="s">
        <v>27</v>
      </c>
      <c r="O99" s="5" t="s">
        <v>420</v>
      </c>
    </row>
    <row r="100" customFormat="false" ht="60" hidden="false" customHeight="true" outlineLevel="0" collapsed="false">
      <c r="A100" s="7" t="s">
        <v>425</v>
      </c>
      <c r="B100" s="8" t="s">
        <v>292</v>
      </c>
      <c r="C100" s="8" t="s">
        <v>418</v>
      </c>
      <c r="D100" s="8" t="s">
        <v>349</v>
      </c>
      <c r="E100" s="8" t="s">
        <v>350</v>
      </c>
      <c r="F100" s="7" t="s">
        <v>36</v>
      </c>
      <c r="G100" s="7" t="s">
        <v>379</v>
      </c>
      <c r="H100" s="9" t="s">
        <v>380</v>
      </c>
      <c r="I100" s="8" t="s">
        <v>426</v>
      </c>
      <c r="J100" s="7" t="n">
        <v>4.01</v>
      </c>
      <c r="K100" s="7"/>
      <c r="L100" s="7" t="s">
        <v>26</v>
      </c>
      <c r="M100" s="8"/>
      <c r="N100" s="7" t="s">
        <v>27</v>
      </c>
      <c r="O100" s="8" t="s">
        <v>420</v>
      </c>
    </row>
    <row r="101" customFormat="false" ht="60" hidden="false" customHeight="true" outlineLevel="0" collapsed="false">
      <c r="A101" s="4" t="s">
        <v>427</v>
      </c>
      <c r="B101" s="5" t="s">
        <v>292</v>
      </c>
      <c r="C101" s="5" t="s">
        <v>418</v>
      </c>
      <c r="D101" s="5" t="s">
        <v>353</v>
      </c>
      <c r="E101" s="5" t="s">
        <v>354</v>
      </c>
      <c r="F101" s="4" t="s">
        <v>36</v>
      </c>
      <c r="G101" s="4" t="s">
        <v>379</v>
      </c>
      <c r="H101" s="6" t="s">
        <v>380</v>
      </c>
      <c r="I101" s="5" t="s">
        <v>428</v>
      </c>
      <c r="J101" s="4" t="n">
        <v>1.72</v>
      </c>
      <c r="K101" s="4"/>
      <c r="L101" s="4" t="s">
        <v>26</v>
      </c>
      <c r="M101" s="5"/>
      <c r="N101" s="4" t="s">
        <v>27</v>
      </c>
      <c r="O101" s="5" t="s">
        <v>420</v>
      </c>
    </row>
    <row r="102" customFormat="false" ht="60" hidden="false" customHeight="true" outlineLevel="0" collapsed="false">
      <c r="A102" s="7" t="s">
        <v>429</v>
      </c>
      <c r="B102" s="8" t="s">
        <v>292</v>
      </c>
      <c r="C102" s="8" t="s">
        <v>418</v>
      </c>
      <c r="D102" s="8" t="s">
        <v>357</v>
      </c>
      <c r="E102" s="8" t="s">
        <v>358</v>
      </c>
      <c r="F102" s="7" t="s">
        <v>67</v>
      </c>
      <c r="G102" s="7" t="s">
        <v>379</v>
      </c>
      <c r="H102" s="9" t="s">
        <v>380</v>
      </c>
      <c r="I102" s="8" t="s">
        <v>430</v>
      </c>
      <c r="J102" s="7" t="n">
        <v>1.15</v>
      </c>
      <c r="K102" s="7"/>
      <c r="L102" s="7" t="s">
        <v>26</v>
      </c>
      <c r="M102" s="8"/>
      <c r="N102" s="7" t="s">
        <v>27</v>
      </c>
      <c r="O102" s="8" t="s">
        <v>420</v>
      </c>
    </row>
    <row r="103" customFormat="false" ht="60" hidden="false" customHeight="true" outlineLevel="0" collapsed="false">
      <c r="A103" s="4" t="s">
        <v>431</v>
      </c>
      <c r="B103" s="5" t="s">
        <v>292</v>
      </c>
      <c r="C103" s="5" t="s">
        <v>418</v>
      </c>
      <c r="D103" s="5" t="s">
        <v>361</v>
      </c>
      <c r="E103" s="5" t="s">
        <v>362</v>
      </c>
      <c r="F103" s="4" t="s">
        <v>53</v>
      </c>
      <c r="G103" s="4" t="s">
        <v>379</v>
      </c>
      <c r="H103" s="6" t="s">
        <v>380</v>
      </c>
      <c r="I103" s="5" t="s">
        <v>432</v>
      </c>
      <c r="J103" s="4" t="n">
        <v>0.58</v>
      </c>
      <c r="K103" s="4"/>
      <c r="L103" s="4" t="s">
        <v>26</v>
      </c>
      <c r="M103" s="5"/>
      <c r="N103" s="4" t="s">
        <v>27</v>
      </c>
      <c r="O103" s="5" t="s">
        <v>420</v>
      </c>
    </row>
    <row r="104" customFormat="false" ht="60" hidden="false" customHeight="true" outlineLevel="0" collapsed="false">
      <c r="A104" s="7" t="s">
        <v>433</v>
      </c>
      <c r="B104" s="8" t="s">
        <v>292</v>
      </c>
      <c r="C104" s="8" t="s">
        <v>418</v>
      </c>
      <c r="D104" s="8" t="s">
        <v>365</v>
      </c>
      <c r="E104" s="8" t="s">
        <v>366</v>
      </c>
      <c r="F104" s="7" t="s">
        <v>58</v>
      </c>
      <c r="G104" s="7" t="s">
        <v>379</v>
      </c>
      <c r="H104" s="9" t="s">
        <v>380</v>
      </c>
      <c r="I104" s="8" t="s">
        <v>434</v>
      </c>
      <c r="J104" s="7" t="n">
        <v>0.45</v>
      </c>
      <c r="K104" s="7"/>
      <c r="L104" s="7" t="s">
        <v>26</v>
      </c>
      <c r="M104" s="8"/>
      <c r="N104" s="7" t="s">
        <v>27</v>
      </c>
      <c r="O104" s="8" t="s">
        <v>420</v>
      </c>
    </row>
    <row r="105" customFormat="false" ht="60" hidden="false" customHeight="true" outlineLevel="0" collapsed="false">
      <c r="A105" s="4" t="s">
        <v>435</v>
      </c>
      <c r="B105" s="5" t="s">
        <v>292</v>
      </c>
      <c r="C105" s="5" t="s">
        <v>418</v>
      </c>
      <c r="D105" s="5" t="s">
        <v>369</v>
      </c>
      <c r="E105" s="5" t="s">
        <v>370</v>
      </c>
      <c r="F105" s="4" t="s">
        <v>67</v>
      </c>
      <c r="G105" s="4" t="s">
        <v>379</v>
      </c>
      <c r="H105" s="6" t="s">
        <v>380</v>
      </c>
      <c r="I105" s="5" t="s">
        <v>436</v>
      </c>
      <c r="J105" s="4" t="n">
        <v>0.26</v>
      </c>
      <c r="K105" s="4"/>
      <c r="L105" s="4" t="s">
        <v>26</v>
      </c>
      <c r="M105" s="5"/>
      <c r="N105" s="4" t="s">
        <v>27</v>
      </c>
      <c r="O105" s="5" t="s">
        <v>420</v>
      </c>
    </row>
    <row r="106" customFormat="false" ht="60" hidden="false" customHeight="true" outlineLevel="0" collapsed="false">
      <c r="A106" s="7" t="s">
        <v>437</v>
      </c>
      <c r="B106" s="8" t="s">
        <v>292</v>
      </c>
      <c r="C106" s="8" t="s">
        <v>418</v>
      </c>
      <c r="D106" s="8" t="s">
        <v>373</v>
      </c>
      <c r="E106" s="8" t="s">
        <v>374</v>
      </c>
      <c r="F106" s="7" t="s">
        <v>76</v>
      </c>
      <c r="G106" s="7" t="s">
        <v>379</v>
      </c>
      <c r="H106" s="9" t="s">
        <v>380</v>
      </c>
      <c r="I106" s="8" t="s">
        <v>438</v>
      </c>
      <c r="J106" s="7" t="n">
        <v>0.76</v>
      </c>
      <c r="K106" s="7"/>
      <c r="L106" s="7" t="s">
        <v>26</v>
      </c>
      <c r="M106" s="8"/>
      <c r="N106" s="7" t="s">
        <v>27</v>
      </c>
      <c r="O106" s="8" t="s">
        <v>420</v>
      </c>
    </row>
    <row r="107" customFormat="false" ht="60" hidden="false" customHeight="true" outlineLevel="0" collapsed="false">
      <c r="A107" s="4" t="s">
        <v>439</v>
      </c>
      <c r="B107" s="5" t="s">
        <v>292</v>
      </c>
      <c r="C107" s="5" t="s">
        <v>440</v>
      </c>
      <c r="D107" s="5" t="s">
        <v>441</v>
      </c>
      <c r="E107" s="5" t="s">
        <v>442</v>
      </c>
      <c r="F107" s="4" t="s">
        <v>22</v>
      </c>
      <c r="G107" s="4" t="s">
        <v>379</v>
      </c>
      <c r="H107" s="6" t="s">
        <v>380</v>
      </c>
      <c r="I107" s="5" t="s">
        <v>443</v>
      </c>
      <c r="J107" s="4" t="n">
        <v>1.34</v>
      </c>
      <c r="K107" s="4"/>
      <c r="L107" s="4" t="s">
        <v>26</v>
      </c>
      <c r="M107" s="5"/>
      <c r="N107" s="4" t="s">
        <v>27</v>
      </c>
      <c r="O107" s="5" t="s">
        <v>444</v>
      </c>
    </row>
    <row r="108" customFormat="false" ht="60" hidden="false" customHeight="true" outlineLevel="0" collapsed="false">
      <c r="A108" s="7" t="s">
        <v>445</v>
      </c>
      <c r="B108" s="8" t="s">
        <v>292</v>
      </c>
      <c r="C108" s="8" t="s">
        <v>440</v>
      </c>
      <c r="D108" s="8" t="s">
        <v>446</v>
      </c>
      <c r="E108" s="8" t="s">
        <v>447</v>
      </c>
      <c r="F108" s="7" t="s">
        <v>22</v>
      </c>
      <c r="G108" s="7" t="s">
        <v>379</v>
      </c>
      <c r="H108" s="9" t="s">
        <v>380</v>
      </c>
      <c r="I108" s="8" t="s">
        <v>448</v>
      </c>
      <c r="J108" s="7" t="n">
        <v>1.08</v>
      </c>
      <c r="K108" s="7"/>
      <c r="L108" s="7" t="s">
        <v>26</v>
      </c>
      <c r="M108" s="8"/>
      <c r="N108" s="7" t="s">
        <v>27</v>
      </c>
      <c r="O108" s="8" t="s">
        <v>444</v>
      </c>
    </row>
    <row r="109" customFormat="false" ht="60" hidden="false" customHeight="true" outlineLevel="0" collapsed="false">
      <c r="A109" s="4" t="s">
        <v>449</v>
      </c>
      <c r="B109" s="5" t="s">
        <v>292</v>
      </c>
      <c r="C109" s="5" t="s">
        <v>440</v>
      </c>
      <c r="D109" s="5" t="s">
        <v>450</v>
      </c>
      <c r="E109" s="5" t="s">
        <v>451</v>
      </c>
      <c r="F109" s="4" t="s">
        <v>36</v>
      </c>
      <c r="G109" s="4" t="s">
        <v>379</v>
      </c>
      <c r="H109" s="6" t="s">
        <v>380</v>
      </c>
      <c r="I109" s="5" t="s">
        <v>452</v>
      </c>
      <c r="J109" s="4" t="n">
        <v>1.17</v>
      </c>
      <c r="K109" s="4"/>
      <c r="L109" s="4" t="s">
        <v>26</v>
      </c>
      <c r="M109" s="5"/>
      <c r="N109" s="4" t="s">
        <v>27</v>
      </c>
      <c r="O109" s="5" t="s">
        <v>444</v>
      </c>
    </row>
    <row r="110" customFormat="false" ht="60" hidden="false" customHeight="true" outlineLevel="0" collapsed="false">
      <c r="A110" s="7" t="s">
        <v>453</v>
      </c>
      <c r="B110" s="8" t="s">
        <v>292</v>
      </c>
      <c r="C110" s="8" t="s">
        <v>440</v>
      </c>
      <c r="D110" s="8" t="s">
        <v>454</v>
      </c>
      <c r="E110" s="8" t="s">
        <v>455</v>
      </c>
      <c r="F110" s="7" t="s">
        <v>36</v>
      </c>
      <c r="G110" s="7" t="s">
        <v>379</v>
      </c>
      <c r="H110" s="9" t="s">
        <v>380</v>
      </c>
      <c r="I110" s="8" t="s">
        <v>456</v>
      </c>
      <c r="J110" s="7" t="n">
        <v>3.14</v>
      </c>
      <c r="K110" s="7"/>
      <c r="L110" s="7" t="s">
        <v>26</v>
      </c>
      <c r="M110" s="8"/>
      <c r="N110" s="7" t="s">
        <v>27</v>
      </c>
      <c r="O110" s="8" t="s">
        <v>444</v>
      </c>
    </row>
    <row r="111" customFormat="false" ht="60" hidden="false" customHeight="true" outlineLevel="0" collapsed="false">
      <c r="A111" s="4" t="s">
        <v>457</v>
      </c>
      <c r="B111" s="5" t="s">
        <v>292</v>
      </c>
      <c r="C111" s="5" t="s">
        <v>440</v>
      </c>
      <c r="D111" s="5" t="s">
        <v>458</v>
      </c>
      <c r="E111" s="5" t="s">
        <v>459</v>
      </c>
      <c r="F111" s="4" t="s">
        <v>36</v>
      </c>
      <c r="G111" s="4" t="s">
        <v>379</v>
      </c>
      <c r="H111" s="6" t="s">
        <v>380</v>
      </c>
      <c r="I111" s="5" t="s">
        <v>460</v>
      </c>
      <c r="J111" s="4" t="n">
        <v>1.34</v>
      </c>
      <c r="K111" s="4"/>
      <c r="L111" s="4" t="s">
        <v>26</v>
      </c>
      <c r="M111" s="5"/>
      <c r="N111" s="4" t="s">
        <v>27</v>
      </c>
      <c r="O111" s="5" t="s">
        <v>444</v>
      </c>
    </row>
    <row r="112" customFormat="false" ht="60" hidden="false" customHeight="true" outlineLevel="0" collapsed="false">
      <c r="A112" s="7" t="s">
        <v>461</v>
      </c>
      <c r="B112" s="8" t="s">
        <v>292</v>
      </c>
      <c r="C112" s="8" t="s">
        <v>440</v>
      </c>
      <c r="D112" s="8" t="s">
        <v>462</v>
      </c>
      <c r="E112" s="8" t="s">
        <v>463</v>
      </c>
      <c r="F112" s="7" t="s">
        <v>67</v>
      </c>
      <c r="G112" s="7" t="s">
        <v>379</v>
      </c>
      <c r="H112" s="9" t="s">
        <v>380</v>
      </c>
      <c r="I112" s="8" t="s">
        <v>464</v>
      </c>
      <c r="J112" s="7" t="n">
        <v>0.9</v>
      </c>
      <c r="K112" s="7"/>
      <c r="L112" s="7" t="s">
        <v>26</v>
      </c>
      <c r="M112" s="8"/>
      <c r="N112" s="7" t="s">
        <v>27</v>
      </c>
      <c r="O112" s="8" t="s">
        <v>444</v>
      </c>
    </row>
    <row r="113" customFormat="false" ht="60" hidden="false" customHeight="true" outlineLevel="0" collapsed="false">
      <c r="A113" s="4" t="s">
        <v>465</v>
      </c>
      <c r="B113" s="5" t="s">
        <v>292</v>
      </c>
      <c r="C113" s="5" t="s">
        <v>440</v>
      </c>
      <c r="D113" s="5" t="s">
        <v>466</v>
      </c>
      <c r="E113" s="5" t="s">
        <v>467</v>
      </c>
      <c r="F113" s="4" t="s">
        <v>53</v>
      </c>
      <c r="G113" s="4" t="s">
        <v>379</v>
      </c>
      <c r="H113" s="6" t="s">
        <v>380</v>
      </c>
      <c r="I113" s="5" t="s">
        <v>468</v>
      </c>
      <c r="J113" s="4" t="n">
        <v>1.52</v>
      </c>
      <c r="K113" s="4"/>
      <c r="L113" s="4" t="s">
        <v>26</v>
      </c>
      <c r="M113" s="5"/>
      <c r="N113" s="4" t="s">
        <v>27</v>
      </c>
      <c r="O113" s="5" t="s">
        <v>444</v>
      </c>
    </row>
    <row r="114" customFormat="false" ht="60" hidden="false" customHeight="true" outlineLevel="0" collapsed="false">
      <c r="A114" s="7" t="s">
        <v>469</v>
      </c>
      <c r="B114" s="8" t="s">
        <v>292</v>
      </c>
      <c r="C114" s="8" t="s">
        <v>440</v>
      </c>
      <c r="D114" s="8" t="s">
        <v>470</v>
      </c>
      <c r="E114" s="8" t="s">
        <v>471</v>
      </c>
      <c r="F114" s="7" t="s">
        <v>58</v>
      </c>
      <c r="G114" s="7" t="s">
        <v>379</v>
      </c>
      <c r="H114" s="9" t="s">
        <v>380</v>
      </c>
      <c r="I114" s="8" t="s">
        <v>472</v>
      </c>
      <c r="J114" s="7" t="n">
        <v>1.18</v>
      </c>
      <c r="K114" s="7"/>
      <c r="L114" s="7" t="s">
        <v>26</v>
      </c>
      <c r="M114" s="8"/>
      <c r="N114" s="7" t="s">
        <v>27</v>
      </c>
      <c r="O114" s="8" t="s">
        <v>444</v>
      </c>
    </row>
    <row r="115" customFormat="false" ht="60" hidden="false" customHeight="true" outlineLevel="0" collapsed="false">
      <c r="A115" s="4" t="s">
        <v>473</v>
      </c>
      <c r="B115" s="5" t="s">
        <v>292</v>
      </c>
      <c r="C115" s="5" t="s">
        <v>440</v>
      </c>
      <c r="D115" s="5" t="s">
        <v>474</v>
      </c>
      <c r="E115" s="5" t="s">
        <v>475</v>
      </c>
      <c r="F115" s="4" t="s">
        <v>67</v>
      </c>
      <c r="G115" s="4" t="s">
        <v>379</v>
      </c>
      <c r="H115" s="6" t="s">
        <v>380</v>
      </c>
      <c r="I115" s="5" t="s">
        <v>476</v>
      </c>
      <c r="J115" s="4" t="n">
        <v>0.68</v>
      </c>
      <c r="K115" s="4"/>
      <c r="L115" s="4" t="s">
        <v>26</v>
      </c>
      <c r="M115" s="5"/>
      <c r="N115" s="4" t="s">
        <v>27</v>
      </c>
      <c r="O115" s="5" t="s">
        <v>444</v>
      </c>
    </row>
    <row r="116" customFormat="false" ht="60" hidden="false" customHeight="true" outlineLevel="0" collapsed="false">
      <c r="A116" s="7" t="s">
        <v>477</v>
      </c>
      <c r="B116" s="8" t="s">
        <v>292</v>
      </c>
      <c r="C116" s="8" t="s">
        <v>440</v>
      </c>
      <c r="D116" s="8" t="s">
        <v>478</v>
      </c>
      <c r="E116" s="8" t="s">
        <v>479</v>
      </c>
      <c r="F116" s="7" t="s">
        <v>76</v>
      </c>
      <c r="G116" s="7" t="s">
        <v>379</v>
      </c>
      <c r="H116" s="9" t="s">
        <v>380</v>
      </c>
      <c r="I116" s="8" t="s">
        <v>480</v>
      </c>
      <c r="J116" s="7" t="n">
        <v>1.19</v>
      </c>
      <c r="K116" s="7"/>
      <c r="L116" s="7" t="s">
        <v>26</v>
      </c>
      <c r="M116" s="8"/>
      <c r="N116" s="7" t="s">
        <v>27</v>
      </c>
      <c r="O116" s="8" t="s">
        <v>444</v>
      </c>
    </row>
    <row r="117" customFormat="false" ht="60" hidden="false" customHeight="true" outlineLevel="0" collapsed="false">
      <c r="A117" s="4" t="s">
        <v>481</v>
      </c>
      <c r="B117" s="5" t="s">
        <v>292</v>
      </c>
      <c r="C117" s="5" t="s">
        <v>482</v>
      </c>
      <c r="D117" s="5" t="s">
        <v>294</v>
      </c>
      <c r="E117" s="5" t="s">
        <v>483</v>
      </c>
      <c r="F117" s="4" t="s">
        <v>22</v>
      </c>
      <c r="G117" s="4" t="s">
        <v>484</v>
      </c>
      <c r="H117" s="6" t="s">
        <v>485</v>
      </c>
      <c r="I117" s="5" t="s">
        <v>486</v>
      </c>
      <c r="J117" s="4" t="n">
        <v>0.5</v>
      </c>
      <c r="K117" s="4"/>
      <c r="L117" s="4" t="s">
        <v>253</v>
      </c>
      <c r="M117" s="5"/>
      <c r="N117" s="4" t="s">
        <v>27</v>
      </c>
      <c r="O117" s="5" t="s">
        <v>487</v>
      </c>
    </row>
    <row r="118" customFormat="false" ht="60" hidden="false" customHeight="true" outlineLevel="0" collapsed="false">
      <c r="A118" s="7" t="s">
        <v>488</v>
      </c>
      <c r="B118" s="8" t="s">
        <v>292</v>
      </c>
      <c r="C118" s="8" t="s">
        <v>482</v>
      </c>
      <c r="D118" s="8" t="s">
        <v>299</v>
      </c>
      <c r="E118" s="8" t="s">
        <v>489</v>
      </c>
      <c r="F118" s="7" t="s">
        <v>22</v>
      </c>
      <c r="G118" s="7" t="s">
        <v>484</v>
      </c>
      <c r="H118" s="9" t="s">
        <v>485</v>
      </c>
      <c r="I118" s="8" t="s">
        <v>490</v>
      </c>
      <c r="J118" s="7" t="n">
        <v>0.4</v>
      </c>
      <c r="K118" s="7"/>
      <c r="L118" s="7" t="s">
        <v>253</v>
      </c>
      <c r="M118" s="8"/>
      <c r="N118" s="7" t="s">
        <v>27</v>
      </c>
      <c r="O118" s="8" t="s">
        <v>487</v>
      </c>
    </row>
    <row r="119" customFormat="false" ht="60" hidden="false" customHeight="true" outlineLevel="0" collapsed="false">
      <c r="A119" s="4" t="s">
        <v>491</v>
      </c>
      <c r="B119" s="5" t="s">
        <v>292</v>
      </c>
      <c r="C119" s="5" t="s">
        <v>482</v>
      </c>
      <c r="D119" s="5" t="s">
        <v>303</v>
      </c>
      <c r="E119" s="5" t="s">
        <v>492</v>
      </c>
      <c r="F119" s="4" t="s">
        <v>36</v>
      </c>
      <c r="G119" s="4" t="s">
        <v>484</v>
      </c>
      <c r="H119" s="6" t="s">
        <v>485</v>
      </c>
      <c r="I119" s="5" t="s">
        <v>493</v>
      </c>
      <c r="J119" s="4" t="n">
        <v>0.44</v>
      </c>
      <c r="K119" s="4"/>
      <c r="L119" s="4" t="s">
        <v>253</v>
      </c>
      <c r="M119" s="5"/>
      <c r="N119" s="4" t="s">
        <v>27</v>
      </c>
      <c r="O119" s="5" t="s">
        <v>487</v>
      </c>
    </row>
    <row r="120" customFormat="false" ht="60" hidden="false" customHeight="true" outlineLevel="0" collapsed="false">
      <c r="A120" s="7" t="s">
        <v>494</v>
      </c>
      <c r="B120" s="8" t="s">
        <v>292</v>
      </c>
      <c r="C120" s="8" t="s">
        <v>482</v>
      </c>
      <c r="D120" s="8" t="s">
        <v>495</v>
      </c>
      <c r="E120" s="8" t="s">
        <v>496</v>
      </c>
      <c r="F120" s="7" t="s">
        <v>36</v>
      </c>
      <c r="G120" s="7" t="s">
        <v>484</v>
      </c>
      <c r="H120" s="9" t="s">
        <v>485</v>
      </c>
      <c r="I120" s="8" t="s">
        <v>497</v>
      </c>
      <c r="J120" s="7" t="n">
        <v>1.18</v>
      </c>
      <c r="K120" s="7"/>
      <c r="L120" s="7" t="s">
        <v>253</v>
      </c>
      <c r="M120" s="8"/>
      <c r="N120" s="7" t="s">
        <v>27</v>
      </c>
      <c r="O120" s="8" t="s">
        <v>487</v>
      </c>
    </row>
    <row r="121" customFormat="false" ht="60" hidden="false" customHeight="true" outlineLevel="0" collapsed="false">
      <c r="A121" s="4" t="s">
        <v>498</v>
      </c>
      <c r="B121" s="5" t="s">
        <v>292</v>
      </c>
      <c r="C121" s="5" t="s">
        <v>482</v>
      </c>
      <c r="D121" s="5" t="s">
        <v>499</v>
      </c>
      <c r="E121" s="5" t="s">
        <v>500</v>
      </c>
      <c r="F121" s="4" t="s">
        <v>36</v>
      </c>
      <c r="G121" s="4" t="s">
        <v>484</v>
      </c>
      <c r="H121" s="6" t="s">
        <v>485</v>
      </c>
      <c r="I121" s="5" t="s">
        <v>501</v>
      </c>
      <c r="J121" s="4" t="n">
        <v>0.5</v>
      </c>
      <c r="K121" s="4"/>
      <c r="L121" s="4" t="s">
        <v>253</v>
      </c>
      <c r="M121" s="5"/>
      <c r="N121" s="4" t="s">
        <v>27</v>
      </c>
      <c r="O121" s="5" t="s">
        <v>487</v>
      </c>
    </row>
    <row r="122" customFormat="false" ht="60" hidden="false" customHeight="true" outlineLevel="0" collapsed="false">
      <c r="A122" s="7" t="s">
        <v>502</v>
      </c>
      <c r="B122" s="8" t="s">
        <v>292</v>
      </c>
      <c r="C122" s="8" t="s">
        <v>482</v>
      </c>
      <c r="D122" s="8" t="s">
        <v>503</v>
      </c>
      <c r="E122" s="8" t="s">
        <v>504</v>
      </c>
      <c r="F122" s="7" t="s">
        <v>67</v>
      </c>
      <c r="G122" s="7" t="s">
        <v>484</v>
      </c>
      <c r="H122" s="9" t="s">
        <v>485</v>
      </c>
      <c r="I122" s="8" t="s">
        <v>505</v>
      </c>
      <c r="J122" s="7" t="n">
        <v>0.34</v>
      </c>
      <c r="K122" s="7"/>
      <c r="L122" s="7" t="s">
        <v>253</v>
      </c>
      <c r="M122" s="8"/>
      <c r="N122" s="7" t="s">
        <v>27</v>
      </c>
      <c r="O122" s="8" t="s">
        <v>487</v>
      </c>
    </row>
    <row r="123" customFormat="false" ht="60" hidden="false" customHeight="true" outlineLevel="0" collapsed="false">
      <c r="A123" s="4" t="s">
        <v>506</v>
      </c>
      <c r="B123" s="5" t="s">
        <v>292</v>
      </c>
      <c r="C123" s="5" t="s">
        <v>482</v>
      </c>
      <c r="D123" s="5" t="s">
        <v>507</v>
      </c>
      <c r="E123" s="5" t="s">
        <v>508</v>
      </c>
      <c r="F123" s="4" t="s">
        <v>53</v>
      </c>
      <c r="G123" s="4" t="s">
        <v>484</v>
      </c>
      <c r="H123" s="6" t="s">
        <v>485</v>
      </c>
      <c r="I123" s="5" t="s">
        <v>509</v>
      </c>
      <c r="J123" s="4" t="n">
        <v>1.86</v>
      </c>
      <c r="K123" s="4"/>
      <c r="L123" s="4" t="s">
        <v>253</v>
      </c>
      <c r="M123" s="5"/>
      <c r="N123" s="4" t="s">
        <v>27</v>
      </c>
      <c r="O123" s="5" t="s">
        <v>487</v>
      </c>
    </row>
    <row r="124" customFormat="false" ht="60" hidden="false" customHeight="true" outlineLevel="0" collapsed="false">
      <c r="A124" s="7" t="s">
        <v>510</v>
      </c>
      <c r="B124" s="8" t="s">
        <v>292</v>
      </c>
      <c r="C124" s="8" t="s">
        <v>482</v>
      </c>
      <c r="D124" s="8" t="s">
        <v>511</v>
      </c>
      <c r="E124" s="8" t="s">
        <v>512</v>
      </c>
      <c r="F124" s="7" t="s">
        <v>58</v>
      </c>
      <c r="G124" s="7" t="s">
        <v>484</v>
      </c>
      <c r="H124" s="9" t="s">
        <v>485</v>
      </c>
      <c r="I124" s="8" t="s">
        <v>513</v>
      </c>
      <c r="J124" s="7" t="n">
        <v>1.45</v>
      </c>
      <c r="K124" s="7"/>
      <c r="L124" s="7" t="s">
        <v>253</v>
      </c>
      <c r="M124" s="8"/>
      <c r="N124" s="7" t="s">
        <v>27</v>
      </c>
      <c r="O124" s="8" t="s">
        <v>487</v>
      </c>
    </row>
    <row r="125" customFormat="false" ht="60" hidden="false" customHeight="true" outlineLevel="0" collapsed="false">
      <c r="A125" s="4" t="s">
        <v>514</v>
      </c>
      <c r="B125" s="5" t="s">
        <v>292</v>
      </c>
      <c r="C125" s="5" t="s">
        <v>482</v>
      </c>
      <c r="D125" s="5" t="s">
        <v>515</v>
      </c>
      <c r="E125" s="5" t="s">
        <v>516</v>
      </c>
      <c r="F125" s="4" t="s">
        <v>67</v>
      </c>
      <c r="G125" s="4" t="s">
        <v>484</v>
      </c>
      <c r="H125" s="6" t="s">
        <v>485</v>
      </c>
      <c r="I125" s="5" t="s">
        <v>517</v>
      </c>
      <c r="J125" s="4" t="n">
        <v>0.83</v>
      </c>
      <c r="K125" s="4"/>
      <c r="L125" s="4" t="s">
        <v>253</v>
      </c>
      <c r="M125" s="5"/>
      <c r="N125" s="4" t="s">
        <v>27</v>
      </c>
      <c r="O125" s="5" t="s">
        <v>487</v>
      </c>
    </row>
    <row r="126" customFormat="false" ht="60" hidden="false" customHeight="true" outlineLevel="0" collapsed="false">
      <c r="A126" s="7" t="s">
        <v>518</v>
      </c>
      <c r="B126" s="8" t="s">
        <v>292</v>
      </c>
      <c r="C126" s="8" t="s">
        <v>482</v>
      </c>
      <c r="D126" s="8" t="s">
        <v>519</v>
      </c>
      <c r="E126" s="8" t="s">
        <v>520</v>
      </c>
      <c r="F126" s="7" t="s">
        <v>76</v>
      </c>
      <c r="G126" s="7" t="s">
        <v>484</v>
      </c>
      <c r="H126" s="9" t="s">
        <v>485</v>
      </c>
      <c r="I126" s="8" t="s">
        <v>521</v>
      </c>
      <c r="J126" s="7" t="n">
        <v>0.55</v>
      </c>
      <c r="K126" s="7"/>
      <c r="L126" s="7" t="s">
        <v>253</v>
      </c>
      <c r="M126" s="8"/>
      <c r="N126" s="7" t="s">
        <v>27</v>
      </c>
      <c r="O126" s="8" t="s">
        <v>487</v>
      </c>
    </row>
    <row r="127" customFormat="false" ht="60" hidden="false" customHeight="true" outlineLevel="0" collapsed="false">
      <c r="A127" s="4" t="s">
        <v>522</v>
      </c>
      <c r="B127" s="5" t="s">
        <v>523</v>
      </c>
      <c r="C127" s="5" t="s">
        <v>524</v>
      </c>
      <c r="D127" s="5" t="s">
        <v>336</v>
      </c>
      <c r="E127" s="5" t="s">
        <v>525</v>
      </c>
      <c r="F127" s="4" t="s">
        <v>22</v>
      </c>
      <c r="G127" s="4" t="s">
        <v>484</v>
      </c>
      <c r="H127" s="6" t="s">
        <v>485</v>
      </c>
      <c r="I127" s="5" t="s">
        <v>296</v>
      </c>
      <c r="J127" s="4" t="n">
        <v>0.81</v>
      </c>
      <c r="K127" s="4"/>
      <c r="L127" s="4" t="s">
        <v>26</v>
      </c>
      <c r="M127" s="5"/>
      <c r="N127" s="4" t="s">
        <v>27</v>
      </c>
      <c r="O127" s="5" t="s">
        <v>526</v>
      </c>
    </row>
    <row r="128" customFormat="false" ht="60" hidden="false" customHeight="true" outlineLevel="0" collapsed="false">
      <c r="A128" s="7" t="s">
        <v>527</v>
      </c>
      <c r="B128" s="8" t="s">
        <v>523</v>
      </c>
      <c r="C128" s="8" t="s">
        <v>524</v>
      </c>
      <c r="D128" s="8" t="s">
        <v>341</v>
      </c>
      <c r="E128" s="8" t="s">
        <v>528</v>
      </c>
      <c r="F128" s="7" t="s">
        <v>22</v>
      </c>
      <c r="G128" s="7" t="s">
        <v>484</v>
      </c>
      <c r="H128" s="9" t="s">
        <v>485</v>
      </c>
      <c r="I128" s="8" t="s">
        <v>529</v>
      </c>
      <c r="J128" s="7" t="n">
        <v>0.65</v>
      </c>
      <c r="K128" s="7"/>
      <c r="L128" s="7" t="s">
        <v>26</v>
      </c>
      <c r="M128" s="8"/>
      <c r="N128" s="7" t="s">
        <v>27</v>
      </c>
      <c r="O128" s="8" t="s">
        <v>526</v>
      </c>
    </row>
    <row r="129" customFormat="false" ht="60" hidden="false" customHeight="true" outlineLevel="0" collapsed="false">
      <c r="A129" s="4" t="s">
        <v>530</v>
      </c>
      <c r="B129" s="5" t="s">
        <v>523</v>
      </c>
      <c r="C129" s="5" t="s">
        <v>524</v>
      </c>
      <c r="D129" s="5" t="s">
        <v>345</v>
      </c>
      <c r="E129" s="5" t="s">
        <v>531</v>
      </c>
      <c r="F129" s="4" t="s">
        <v>36</v>
      </c>
      <c r="G129" s="4" t="s">
        <v>484</v>
      </c>
      <c r="H129" s="6" t="s">
        <v>485</v>
      </c>
      <c r="I129" s="5" t="s">
        <v>532</v>
      </c>
      <c r="J129" s="4" t="n">
        <v>0.7</v>
      </c>
      <c r="K129" s="4"/>
      <c r="L129" s="4" t="s">
        <v>26</v>
      </c>
      <c r="M129" s="5"/>
      <c r="N129" s="4" t="s">
        <v>27</v>
      </c>
      <c r="O129" s="5" t="s">
        <v>526</v>
      </c>
    </row>
    <row r="130" customFormat="false" ht="60" hidden="false" customHeight="true" outlineLevel="0" collapsed="false">
      <c r="A130" s="7" t="s">
        <v>533</v>
      </c>
      <c r="B130" s="8" t="s">
        <v>523</v>
      </c>
      <c r="C130" s="8" t="s">
        <v>524</v>
      </c>
      <c r="D130" s="8" t="s">
        <v>534</v>
      </c>
      <c r="E130" s="8" t="s">
        <v>535</v>
      </c>
      <c r="F130" s="7" t="s">
        <v>36</v>
      </c>
      <c r="G130" s="7" t="s">
        <v>484</v>
      </c>
      <c r="H130" s="9" t="s">
        <v>485</v>
      </c>
      <c r="I130" s="8" t="s">
        <v>536</v>
      </c>
      <c r="J130" s="7" t="n">
        <v>1.88</v>
      </c>
      <c r="K130" s="7"/>
      <c r="L130" s="7" t="s">
        <v>26</v>
      </c>
      <c r="M130" s="8"/>
      <c r="N130" s="7" t="s">
        <v>27</v>
      </c>
      <c r="O130" s="8" t="s">
        <v>526</v>
      </c>
    </row>
    <row r="131" customFormat="false" ht="60" hidden="false" customHeight="true" outlineLevel="0" collapsed="false">
      <c r="A131" s="4" t="s">
        <v>537</v>
      </c>
      <c r="B131" s="5" t="s">
        <v>523</v>
      </c>
      <c r="C131" s="5" t="s">
        <v>524</v>
      </c>
      <c r="D131" s="5" t="s">
        <v>538</v>
      </c>
      <c r="E131" s="5" t="s">
        <v>539</v>
      </c>
      <c r="F131" s="4" t="s">
        <v>36</v>
      </c>
      <c r="G131" s="4" t="s">
        <v>484</v>
      </c>
      <c r="H131" s="6" t="s">
        <v>485</v>
      </c>
      <c r="I131" s="5" t="s">
        <v>540</v>
      </c>
      <c r="J131" s="4" t="n">
        <v>0.81</v>
      </c>
      <c r="K131" s="4"/>
      <c r="L131" s="4" t="s">
        <v>26</v>
      </c>
      <c r="M131" s="5"/>
      <c r="N131" s="4" t="s">
        <v>27</v>
      </c>
      <c r="O131" s="5" t="s">
        <v>526</v>
      </c>
    </row>
    <row r="132" customFormat="false" ht="60" hidden="false" customHeight="true" outlineLevel="0" collapsed="false">
      <c r="A132" s="7" t="s">
        <v>541</v>
      </c>
      <c r="B132" s="8" t="s">
        <v>523</v>
      </c>
      <c r="C132" s="8" t="s">
        <v>524</v>
      </c>
      <c r="D132" s="8" t="s">
        <v>542</v>
      </c>
      <c r="E132" s="8" t="s">
        <v>543</v>
      </c>
      <c r="F132" s="7" t="s">
        <v>67</v>
      </c>
      <c r="G132" s="7" t="s">
        <v>484</v>
      </c>
      <c r="H132" s="9" t="s">
        <v>485</v>
      </c>
      <c r="I132" s="8" t="s">
        <v>544</v>
      </c>
      <c r="J132" s="7" t="n">
        <v>0.54</v>
      </c>
      <c r="K132" s="7"/>
      <c r="L132" s="7" t="s">
        <v>26</v>
      </c>
      <c r="M132" s="8"/>
      <c r="N132" s="7" t="s">
        <v>27</v>
      </c>
      <c r="O132" s="8" t="s">
        <v>526</v>
      </c>
    </row>
    <row r="133" customFormat="false" ht="60" hidden="false" customHeight="true" outlineLevel="0" collapsed="false">
      <c r="A133" s="4" t="s">
        <v>545</v>
      </c>
      <c r="B133" s="5" t="s">
        <v>523</v>
      </c>
      <c r="C133" s="5" t="s">
        <v>524</v>
      </c>
      <c r="D133" s="5" t="s">
        <v>546</v>
      </c>
      <c r="E133" s="5" t="s">
        <v>547</v>
      </c>
      <c r="F133" s="4" t="s">
        <v>53</v>
      </c>
      <c r="G133" s="4" t="s">
        <v>484</v>
      </c>
      <c r="H133" s="6" t="s">
        <v>485</v>
      </c>
      <c r="I133" s="5" t="s">
        <v>548</v>
      </c>
      <c r="J133" s="4" t="n">
        <v>0.91</v>
      </c>
      <c r="K133" s="4"/>
      <c r="L133" s="4" t="s">
        <v>26</v>
      </c>
      <c r="M133" s="5"/>
      <c r="N133" s="4" t="s">
        <v>27</v>
      </c>
      <c r="O133" s="5" t="s">
        <v>526</v>
      </c>
    </row>
    <row r="134" customFormat="false" ht="60" hidden="false" customHeight="true" outlineLevel="0" collapsed="false">
      <c r="A134" s="7" t="s">
        <v>549</v>
      </c>
      <c r="B134" s="8" t="s">
        <v>523</v>
      </c>
      <c r="C134" s="8" t="s">
        <v>524</v>
      </c>
      <c r="D134" s="8" t="s">
        <v>550</v>
      </c>
      <c r="E134" s="8" t="s">
        <v>551</v>
      </c>
      <c r="F134" s="7" t="s">
        <v>58</v>
      </c>
      <c r="G134" s="7" t="s">
        <v>484</v>
      </c>
      <c r="H134" s="9" t="s">
        <v>485</v>
      </c>
      <c r="I134" s="8" t="s">
        <v>552</v>
      </c>
      <c r="J134" s="7" t="n">
        <v>0.71</v>
      </c>
      <c r="K134" s="7"/>
      <c r="L134" s="7" t="s">
        <v>26</v>
      </c>
      <c r="M134" s="8"/>
      <c r="N134" s="7" t="s">
        <v>27</v>
      </c>
      <c r="O134" s="8" t="s">
        <v>526</v>
      </c>
    </row>
    <row r="135" customFormat="false" ht="60" hidden="false" customHeight="true" outlineLevel="0" collapsed="false">
      <c r="A135" s="4" t="s">
        <v>553</v>
      </c>
      <c r="B135" s="5" t="s">
        <v>523</v>
      </c>
      <c r="C135" s="5" t="s">
        <v>524</v>
      </c>
      <c r="D135" s="5" t="s">
        <v>554</v>
      </c>
      <c r="E135" s="5" t="s">
        <v>555</v>
      </c>
      <c r="F135" s="4" t="s">
        <v>67</v>
      </c>
      <c r="G135" s="4" t="s">
        <v>484</v>
      </c>
      <c r="H135" s="6" t="s">
        <v>485</v>
      </c>
      <c r="I135" s="5" t="s">
        <v>556</v>
      </c>
      <c r="J135" s="4" t="n">
        <v>0.41</v>
      </c>
      <c r="K135" s="4"/>
      <c r="L135" s="4" t="s">
        <v>26</v>
      </c>
      <c r="M135" s="5"/>
      <c r="N135" s="4" t="s">
        <v>27</v>
      </c>
      <c r="O135" s="5" t="s">
        <v>526</v>
      </c>
    </row>
    <row r="136" customFormat="false" ht="60" hidden="false" customHeight="true" outlineLevel="0" collapsed="false">
      <c r="A136" s="7" t="s">
        <v>557</v>
      </c>
      <c r="B136" s="8" t="s">
        <v>523</v>
      </c>
      <c r="C136" s="8" t="s">
        <v>524</v>
      </c>
      <c r="D136" s="8" t="s">
        <v>558</v>
      </c>
      <c r="E136" s="8" t="s">
        <v>559</v>
      </c>
      <c r="F136" s="7" t="s">
        <v>76</v>
      </c>
      <c r="G136" s="7" t="s">
        <v>484</v>
      </c>
      <c r="H136" s="9" t="s">
        <v>485</v>
      </c>
      <c r="I136" s="8" t="s">
        <v>560</v>
      </c>
      <c r="J136" s="7" t="n">
        <v>0.71</v>
      </c>
      <c r="K136" s="7"/>
      <c r="L136" s="7" t="s">
        <v>26</v>
      </c>
      <c r="M136" s="8"/>
      <c r="N136" s="7" t="s">
        <v>27</v>
      </c>
      <c r="O136" s="8" t="s">
        <v>526</v>
      </c>
    </row>
    <row r="137" customFormat="false" ht="60" hidden="false" customHeight="true" outlineLevel="0" collapsed="false">
      <c r="A137" s="4" t="s">
        <v>561</v>
      </c>
      <c r="B137" s="5" t="s">
        <v>523</v>
      </c>
      <c r="C137" s="5" t="s">
        <v>562</v>
      </c>
      <c r="D137" s="5" t="s">
        <v>563</v>
      </c>
      <c r="E137" s="5" t="s">
        <v>564</v>
      </c>
      <c r="F137" s="4" t="s">
        <v>22</v>
      </c>
      <c r="G137" s="4" t="s">
        <v>484</v>
      </c>
      <c r="H137" s="6" t="s">
        <v>485</v>
      </c>
      <c r="I137" s="5" t="s">
        <v>565</v>
      </c>
      <c r="J137" s="4" t="n">
        <v>2.75</v>
      </c>
      <c r="K137" s="4"/>
      <c r="L137" s="4" t="s">
        <v>26</v>
      </c>
      <c r="M137" s="5"/>
      <c r="N137" s="4" t="s">
        <v>27</v>
      </c>
      <c r="O137" s="5" t="s">
        <v>566</v>
      </c>
    </row>
    <row r="138" customFormat="false" ht="60" hidden="false" customHeight="true" outlineLevel="0" collapsed="false">
      <c r="A138" s="7" t="s">
        <v>567</v>
      </c>
      <c r="B138" s="8" t="s">
        <v>523</v>
      </c>
      <c r="C138" s="8" t="s">
        <v>562</v>
      </c>
      <c r="D138" s="8" t="s">
        <v>568</v>
      </c>
      <c r="E138" s="8" t="s">
        <v>569</v>
      </c>
      <c r="F138" s="7" t="s">
        <v>22</v>
      </c>
      <c r="G138" s="7" t="s">
        <v>484</v>
      </c>
      <c r="H138" s="9" t="s">
        <v>485</v>
      </c>
      <c r="I138" s="8" t="s">
        <v>570</v>
      </c>
      <c r="J138" s="7" t="n">
        <v>2.2</v>
      </c>
      <c r="K138" s="7"/>
      <c r="L138" s="7" t="s">
        <v>26</v>
      </c>
      <c r="M138" s="8"/>
      <c r="N138" s="7" t="s">
        <v>27</v>
      </c>
      <c r="O138" s="8" t="s">
        <v>566</v>
      </c>
    </row>
    <row r="139" customFormat="false" ht="60" hidden="false" customHeight="true" outlineLevel="0" collapsed="false">
      <c r="A139" s="4" t="s">
        <v>571</v>
      </c>
      <c r="B139" s="5" t="s">
        <v>523</v>
      </c>
      <c r="C139" s="5" t="s">
        <v>562</v>
      </c>
      <c r="D139" s="5" t="s">
        <v>572</v>
      </c>
      <c r="E139" s="5" t="s">
        <v>573</v>
      </c>
      <c r="F139" s="4" t="s">
        <v>36</v>
      </c>
      <c r="G139" s="4" t="s">
        <v>484</v>
      </c>
      <c r="H139" s="6" t="s">
        <v>485</v>
      </c>
      <c r="I139" s="5" t="s">
        <v>574</v>
      </c>
      <c r="J139" s="4" t="n">
        <v>2.38</v>
      </c>
      <c r="K139" s="4"/>
      <c r="L139" s="4" t="s">
        <v>26</v>
      </c>
      <c r="M139" s="5"/>
      <c r="N139" s="4" t="s">
        <v>27</v>
      </c>
      <c r="O139" s="5" t="s">
        <v>566</v>
      </c>
    </row>
    <row r="140" customFormat="false" ht="60" hidden="false" customHeight="true" outlineLevel="0" collapsed="false">
      <c r="A140" s="7" t="s">
        <v>575</v>
      </c>
      <c r="B140" s="8" t="s">
        <v>523</v>
      </c>
      <c r="C140" s="8" t="s">
        <v>562</v>
      </c>
      <c r="D140" s="8" t="s">
        <v>576</v>
      </c>
      <c r="E140" s="8" t="s">
        <v>577</v>
      </c>
      <c r="F140" s="7" t="s">
        <v>36</v>
      </c>
      <c r="G140" s="7" t="s">
        <v>484</v>
      </c>
      <c r="H140" s="9" t="s">
        <v>485</v>
      </c>
      <c r="I140" s="8" t="s">
        <v>578</v>
      </c>
      <c r="J140" s="7" t="n">
        <v>6.42</v>
      </c>
      <c r="K140" s="7"/>
      <c r="L140" s="7" t="s">
        <v>26</v>
      </c>
      <c r="M140" s="8"/>
      <c r="N140" s="7" t="s">
        <v>27</v>
      </c>
      <c r="O140" s="8" t="s">
        <v>566</v>
      </c>
    </row>
    <row r="141" customFormat="false" ht="60" hidden="false" customHeight="true" outlineLevel="0" collapsed="false">
      <c r="A141" s="4" t="s">
        <v>579</v>
      </c>
      <c r="B141" s="5" t="s">
        <v>523</v>
      </c>
      <c r="C141" s="5" t="s">
        <v>562</v>
      </c>
      <c r="D141" s="5" t="s">
        <v>580</v>
      </c>
      <c r="E141" s="5" t="s">
        <v>581</v>
      </c>
      <c r="F141" s="4" t="s">
        <v>36</v>
      </c>
      <c r="G141" s="4" t="s">
        <v>484</v>
      </c>
      <c r="H141" s="6" t="s">
        <v>485</v>
      </c>
      <c r="I141" s="5" t="s">
        <v>582</v>
      </c>
      <c r="J141" s="4" t="n">
        <v>2.75</v>
      </c>
      <c r="K141" s="4"/>
      <c r="L141" s="4" t="s">
        <v>26</v>
      </c>
      <c r="M141" s="5"/>
      <c r="N141" s="4" t="s">
        <v>27</v>
      </c>
      <c r="O141" s="5" t="s">
        <v>566</v>
      </c>
    </row>
    <row r="142" customFormat="false" ht="60" hidden="false" customHeight="true" outlineLevel="0" collapsed="false">
      <c r="A142" s="7" t="s">
        <v>583</v>
      </c>
      <c r="B142" s="8" t="s">
        <v>523</v>
      </c>
      <c r="C142" s="8" t="s">
        <v>562</v>
      </c>
      <c r="D142" s="8" t="s">
        <v>584</v>
      </c>
      <c r="E142" s="8" t="s">
        <v>585</v>
      </c>
      <c r="F142" s="7" t="s">
        <v>67</v>
      </c>
      <c r="G142" s="7" t="s">
        <v>484</v>
      </c>
      <c r="H142" s="9" t="s">
        <v>485</v>
      </c>
      <c r="I142" s="8" t="s">
        <v>586</v>
      </c>
      <c r="J142" s="7" t="n">
        <v>1.83</v>
      </c>
      <c r="K142" s="7"/>
      <c r="L142" s="7" t="s">
        <v>26</v>
      </c>
      <c r="M142" s="8"/>
      <c r="N142" s="7" t="s">
        <v>27</v>
      </c>
      <c r="O142" s="8" t="s">
        <v>566</v>
      </c>
    </row>
    <row r="143" customFormat="false" ht="60" hidden="false" customHeight="true" outlineLevel="0" collapsed="false">
      <c r="A143" s="4" t="s">
        <v>587</v>
      </c>
      <c r="B143" s="5" t="s">
        <v>523</v>
      </c>
      <c r="C143" s="5" t="s">
        <v>562</v>
      </c>
      <c r="D143" s="5" t="s">
        <v>588</v>
      </c>
      <c r="E143" s="5" t="s">
        <v>589</v>
      </c>
      <c r="F143" s="4" t="s">
        <v>53</v>
      </c>
      <c r="G143" s="4" t="s">
        <v>484</v>
      </c>
      <c r="H143" s="6" t="s">
        <v>485</v>
      </c>
      <c r="I143" s="5" t="s">
        <v>590</v>
      </c>
      <c r="J143" s="4" t="n">
        <v>0.93</v>
      </c>
      <c r="K143" s="4"/>
      <c r="L143" s="4" t="s">
        <v>26</v>
      </c>
      <c r="M143" s="5"/>
      <c r="N143" s="4" t="s">
        <v>27</v>
      </c>
      <c r="O143" s="5" t="s">
        <v>566</v>
      </c>
    </row>
    <row r="144" customFormat="false" ht="60" hidden="false" customHeight="true" outlineLevel="0" collapsed="false">
      <c r="A144" s="7" t="s">
        <v>591</v>
      </c>
      <c r="B144" s="8" t="s">
        <v>523</v>
      </c>
      <c r="C144" s="8" t="s">
        <v>562</v>
      </c>
      <c r="D144" s="8" t="s">
        <v>592</v>
      </c>
      <c r="E144" s="8" t="s">
        <v>593</v>
      </c>
      <c r="F144" s="7" t="s">
        <v>58</v>
      </c>
      <c r="G144" s="7" t="s">
        <v>484</v>
      </c>
      <c r="H144" s="9" t="s">
        <v>485</v>
      </c>
      <c r="I144" s="8" t="s">
        <v>594</v>
      </c>
      <c r="J144" s="7" t="n">
        <v>0.73</v>
      </c>
      <c r="K144" s="7"/>
      <c r="L144" s="7" t="s">
        <v>26</v>
      </c>
      <c r="M144" s="8"/>
      <c r="N144" s="7" t="s">
        <v>27</v>
      </c>
      <c r="O144" s="8" t="s">
        <v>566</v>
      </c>
    </row>
    <row r="145" customFormat="false" ht="60" hidden="false" customHeight="true" outlineLevel="0" collapsed="false">
      <c r="A145" s="4" t="s">
        <v>595</v>
      </c>
      <c r="B145" s="5" t="s">
        <v>523</v>
      </c>
      <c r="C145" s="5" t="s">
        <v>562</v>
      </c>
      <c r="D145" s="5" t="s">
        <v>596</v>
      </c>
      <c r="E145" s="5" t="s">
        <v>597</v>
      </c>
      <c r="F145" s="4" t="s">
        <v>67</v>
      </c>
      <c r="G145" s="4" t="s">
        <v>484</v>
      </c>
      <c r="H145" s="6" t="s">
        <v>485</v>
      </c>
      <c r="I145" s="5" t="s">
        <v>598</v>
      </c>
      <c r="J145" s="4" t="n">
        <v>0.42</v>
      </c>
      <c r="K145" s="4"/>
      <c r="L145" s="4" t="s">
        <v>26</v>
      </c>
      <c r="M145" s="5"/>
      <c r="N145" s="4" t="s">
        <v>27</v>
      </c>
      <c r="O145" s="5" t="s">
        <v>566</v>
      </c>
    </row>
    <row r="146" customFormat="false" ht="60" hidden="false" customHeight="true" outlineLevel="0" collapsed="false">
      <c r="A146" s="7" t="s">
        <v>599</v>
      </c>
      <c r="B146" s="8" t="s">
        <v>523</v>
      </c>
      <c r="C146" s="8" t="s">
        <v>562</v>
      </c>
      <c r="D146" s="8" t="s">
        <v>600</v>
      </c>
      <c r="E146" s="8" t="s">
        <v>601</v>
      </c>
      <c r="F146" s="7" t="s">
        <v>76</v>
      </c>
      <c r="G146" s="7" t="s">
        <v>484</v>
      </c>
      <c r="H146" s="9" t="s">
        <v>485</v>
      </c>
      <c r="I146" s="8" t="s">
        <v>602</v>
      </c>
      <c r="J146" s="7" t="n">
        <v>1.21</v>
      </c>
      <c r="K146" s="7"/>
      <c r="L146" s="7" t="s">
        <v>26</v>
      </c>
      <c r="M146" s="8"/>
      <c r="N146" s="7" t="s">
        <v>27</v>
      </c>
      <c r="O146" s="8" t="s">
        <v>566</v>
      </c>
    </row>
    <row r="147" customFormat="false" ht="60" hidden="false" customHeight="true" outlineLevel="0" collapsed="false">
      <c r="A147" s="4" t="s">
        <v>603</v>
      </c>
      <c r="B147" s="5" t="s">
        <v>523</v>
      </c>
      <c r="C147" s="5" t="s">
        <v>604</v>
      </c>
      <c r="D147" s="5" t="s">
        <v>605</v>
      </c>
      <c r="E147" s="5" t="s">
        <v>606</v>
      </c>
      <c r="F147" s="4" t="s">
        <v>22</v>
      </c>
      <c r="G147" s="4" t="s">
        <v>484</v>
      </c>
      <c r="H147" s="6" t="s">
        <v>485</v>
      </c>
      <c r="I147" s="5" t="s">
        <v>607</v>
      </c>
      <c r="J147" s="4" t="n">
        <v>1.03</v>
      </c>
      <c r="K147" s="4"/>
      <c r="L147" s="4" t="s">
        <v>26</v>
      </c>
      <c r="M147" s="5"/>
      <c r="N147" s="4" t="s">
        <v>27</v>
      </c>
      <c r="O147" s="5" t="s">
        <v>608</v>
      </c>
    </row>
    <row r="148" customFormat="false" ht="60" hidden="false" customHeight="true" outlineLevel="0" collapsed="false">
      <c r="A148" s="7" t="s">
        <v>609</v>
      </c>
      <c r="B148" s="8" t="s">
        <v>523</v>
      </c>
      <c r="C148" s="8" t="s">
        <v>604</v>
      </c>
      <c r="D148" s="8" t="s">
        <v>610</v>
      </c>
      <c r="E148" s="8" t="s">
        <v>611</v>
      </c>
      <c r="F148" s="7" t="s">
        <v>22</v>
      </c>
      <c r="G148" s="7" t="s">
        <v>484</v>
      </c>
      <c r="H148" s="9" t="s">
        <v>485</v>
      </c>
      <c r="I148" s="8" t="s">
        <v>612</v>
      </c>
      <c r="J148" s="7" t="n">
        <v>0.83</v>
      </c>
      <c r="K148" s="7"/>
      <c r="L148" s="7" t="s">
        <v>26</v>
      </c>
      <c r="M148" s="8"/>
      <c r="N148" s="7" t="s">
        <v>27</v>
      </c>
      <c r="O148" s="8" t="s">
        <v>608</v>
      </c>
    </row>
    <row r="149" customFormat="false" ht="60" hidden="false" customHeight="true" outlineLevel="0" collapsed="false">
      <c r="A149" s="4" t="s">
        <v>613</v>
      </c>
      <c r="B149" s="5" t="s">
        <v>523</v>
      </c>
      <c r="C149" s="5" t="s">
        <v>604</v>
      </c>
      <c r="D149" s="5" t="s">
        <v>614</v>
      </c>
      <c r="E149" s="5" t="s">
        <v>615</v>
      </c>
      <c r="F149" s="4" t="s">
        <v>36</v>
      </c>
      <c r="G149" s="4" t="s">
        <v>484</v>
      </c>
      <c r="H149" s="6" t="s">
        <v>485</v>
      </c>
      <c r="I149" s="5" t="s">
        <v>616</v>
      </c>
      <c r="J149" s="4" t="n">
        <v>0.89</v>
      </c>
      <c r="K149" s="4"/>
      <c r="L149" s="4" t="s">
        <v>26</v>
      </c>
      <c r="M149" s="5"/>
      <c r="N149" s="4" t="s">
        <v>27</v>
      </c>
      <c r="O149" s="5" t="s">
        <v>608</v>
      </c>
    </row>
    <row r="150" customFormat="false" ht="60" hidden="false" customHeight="true" outlineLevel="0" collapsed="false">
      <c r="A150" s="7" t="s">
        <v>617</v>
      </c>
      <c r="B150" s="8" t="s">
        <v>523</v>
      </c>
      <c r="C150" s="8" t="s">
        <v>604</v>
      </c>
      <c r="D150" s="8" t="s">
        <v>618</v>
      </c>
      <c r="E150" s="8" t="s">
        <v>619</v>
      </c>
      <c r="F150" s="7" t="s">
        <v>36</v>
      </c>
      <c r="G150" s="7" t="s">
        <v>484</v>
      </c>
      <c r="H150" s="9" t="s">
        <v>485</v>
      </c>
      <c r="I150" s="8" t="s">
        <v>620</v>
      </c>
      <c r="J150" s="7" t="n">
        <v>2.41</v>
      </c>
      <c r="K150" s="7"/>
      <c r="L150" s="7" t="s">
        <v>26</v>
      </c>
      <c r="M150" s="8"/>
      <c r="N150" s="7" t="s">
        <v>27</v>
      </c>
      <c r="O150" s="8" t="s">
        <v>608</v>
      </c>
    </row>
    <row r="151" customFormat="false" ht="60" hidden="false" customHeight="true" outlineLevel="0" collapsed="false">
      <c r="A151" s="4" t="s">
        <v>621</v>
      </c>
      <c r="B151" s="5" t="s">
        <v>523</v>
      </c>
      <c r="C151" s="5" t="s">
        <v>604</v>
      </c>
      <c r="D151" s="5" t="s">
        <v>622</v>
      </c>
      <c r="E151" s="5" t="s">
        <v>623</v>
      </c>
      <c r="F151" s="4" t="s">
        <v>36</v>
      </c>
      <c r="G151" s="4" t="s">
        <v>484</v>
      </c>
      <c r="H151" s="6" t="s">
        <v>485</v>
      </c>
      <c r="I151" s="5" t="s">
        <v>624</v>
      </c>
      <c r="J151" s="4" t="n">
        <v>1.03</v>
      </c>
      <c r="K151" s="4"/>
      <c r="L151" s="4" t="s">
        <v>26</v>
      </c>
      <c r="M151" s="5"/>
      <c r="N151" s="4" t="s">
        <v>27</v>
      </c>
      <c r="O151" s="5" t="s">
        <v>608</v>
      </c>
    </row>
    <row r="152" customFormat="false" ht="60" hidden="false" customHeight="true" outlineLevel="0" collapsed="false">
      <c r="A152" s="7" t="s">
        <v>625</v>
      </c>
      <c r="B152" s="8" t="s">
        <v>523</v>
      </c>
      <c r="C152" s="8" t="s">
        <v>604</v>
      </c>
      <c r="D152" s="8" t="s">
        <v>626</v>
      </c>
      <c r="E152" s="8" t="s">
        <v>627</v>
      </c>
      <c r="F152" s="7" t="s">
        <v>67</v>
      </c>
      <c r="G152" s="7" t="s">
        <v>484</v>
      </c>
      <c r="H152" s="9" t="s">
        <v>485</v>
      </c>
      <c r="I152" s="8" t="s">
        <v>628</v>
      </c>
      <c r="J152" s="7" t="n">
        <v>0.69</v>
      </c>
      <c r="K152" s="7"/>
      <c r="L152" s="7" t="s">
        <v>26</v>
      </c>
      <c r="M152" s="8"/>
      <c r="N152" s="7" t="s">
        <v>27</v>
      </c>
      <c r="O152" s="8" t="s">
        <v>608</v>
      </c>
    </row>
    <row r="153" customFormat="false" ht="60" hidden="false" customHeight="true" outlineLevel="0" collapsed="false">
      <c r="A153" s="4" t="s">
        <v>629</v>
      </c>
      <c r="B153" s="5" t="s">
        <v>523</v>
      </c>
      <c r="C153" s="5" t="s">
        <v>604</v>
      </c>
      <c r="D153" s="5" t="s">
        <v>630</v>
      </c>
      <c r="E153" s="5" t="s">
        <v>631</v>
      </c>
      <c r="F153" s="4" t="s">
        <v>53</v>
      </c>
      <c r="G153" s="4" t="s">
        <v>484</v>
      </c>
      <c r="H153" s="6" t="s">
        <v>485</v>
      </c>
      <c r="I153" s="5" t="s">
        <v>632</v>
      </c>
      <c r="J153" s="4" t="n">
        <v>0.35</v>
      </c>
      <c r="K153" s="4"/>
      <c r="L153" s="4" t="s">
        <v>26</v>
      </c>
      <c r="M153" s="5"/>
      <c r="N153" s="4" t="s">
        <v>27</v>
      </c>
      <c r="O153" s="5" t="s">
        <v>608</v>
      </c>
    </row>
    <row r="154" customFormat="false" ht="60" hidden="false" customHeight="true" outlineLevel="0" collapsed="false">
      <c r="A154" s="7" t="s">
        <v>633</v>
      </c>
      <c r="B154" s="8" t="s">
        <v>523</v>
      </c>
      <c r="C154" s="8" t="s">
        <v>604</v>
      </c>
      <c r="D154" s="8" t="s">
        <v>634</v>
      </c>
      <c r="E154" s="8" t="s">
        <v>635</v>
      </c>
      <c r="F154" s="7" t="s">
        <v>58</v>
      </c>
      <c r="G154" s="7" t="s">
        <v>484</v>
      </c>
      <c r="H154" s="9" t="s">
        <v>485</v>
      </c>
      <c r="I154" s="8" t="s">
        <v>636</v>
      </c>
      <c r="J154" s="7" t="n">
        <v>0.27</v>
      </c>
      <c r="K154" s="7"/>
      <c r="L154" s="7" t="s">
        <v>26</v>
      </c>
      <c r="M154" s="8"/>
      <c r="N154" s="7" t="s">
        <v>27</v>
      </c>
      <c r="O154" s="8" t="s">
        <v>608</v>
      </c>
    </row>
    <row r="155" customFormat="false" ht="60" hidden="false" customHeight="true" outlineLevel="0" collapsed="false">
      <c r="A155" s="4" t="s">
        <v>637</v>
      </c>
      <c r="B155" s="5" t="s">
        <v>523</v>
      </c>
      <c r="C155" s="5" t="s">
        <v>604</v>
      </c>
      <c r="D155" s="5" t="s">
        <v>638</v>
      </c>
      <c r="E155" s="5" t="s">
        <v>639</v>
      </c>
      <c r="F155" s="4" t="s">
        <v>67</v>
      </c>
      <c r="G155" s="4" t="s">
        <v>484</v>
      </c>
      <c r="H155" s="6" t="s">
        <v>485</v>
      </c>
      <c r="I155" s="5" t="s">
        <v>640</v>
      </c>
      <c r="J155" s="4" t="n">
        <v>0.16</v>
      </c>
      <c r="K155" s="4"/>
      <c r="L155" s="4" t="s">
        <v>26</v>
      </c>
      <c r="M155" s="5"/>
      <c r="N155" s="4" t="s">
        <v>27</v>
      </c>
      <c r="O155" s="5" t="s">
        <v>608</v>
      </c>
    </row>
    <row r="156" customFormat="false" ht="60" hidden="false" customHeight="true" outlineLevel="0" collapsed="false">
      <c r="A156" s="7" t="s">
        <v>641</v>
      </c>
      <c r="B156" s="8" t="s">
        <v>523</v>
      </c>
      <c r="C156" s="8" t="s">
        <v>604</v>
      </c>
      <c r="D156" s="8" t="s">
        <v>642</v>
      </c>
      <c r="E156" s="8" t="s">
        <v>643</v>
      </c>
      <c r="F156" s="7" t="s">
        <v>76</v>
      </c>
      <c r="G156" s="7" t="s">
        <v>484</v>
      </c>
      <c r="H156" s="9" t="s">
        <v>485</v>
      </c>
      <c r="I156" s="8" t="s">
        <v>644</v>
      </c>
      <c r="J156" s="7" t="n">
        <v>0.45</v>
      </c>
      <c r="K156" s="7"/>
      <c r="L156" s="7" t="s">
        <v>26</v>
      </c>
      <c r="M156" s="8"/>
      <c r="N156" s="7" t="s">
        <v>27</v>
      </c>
      <c r="O156" s="8" t="s">
        <v>608</v>
      </c>
    </row>
    <row r="157" customFormat="false" ht="60" hidden="false" customHeight="true" outlineLevel="0" collapsed="false">
      <c r="A157" s="4" t="s">
        <v>645</v>
      </c>
      <c r="B157" s="5" t="s">
        <v>523</v>
      </c>
      <c r="C157" s="5" t="s">
        <v>646</v>
      </c>
      <c r="D157" s="5" t="s">
        <v>563</v>
      </c>
      <c r="E157" s="5" t="s">
        <v>647</v>
      </c>
      <c r="F157" s="4" t="s">
        <v>22</v>
      </c>
      <c r="G157" s="4" t="s">
        <v>648</v>
      </c>
      <c r="H157" s="6" t="s">
        <v>649</v>
      </c>
      <c r="I157" s="5" t="s">
        <v>650</v>
      </c>
      <c r="J157" s="4" t="n">
        <v>0.34</v>
      </c>
      <c r="K157" s="4"/>
      <c r="L157" s="4" t="s">
        <v>253</v>
      </c>
      <c r="M157" s="5"/>
      <c r="N157" s="4" t="s">
        <v>27</v>
      </c>
      <c r="O157" s="5" t="s">
        <v>651</v>
      </c>
    </row>
    <row r="158" customFormat="false" ht="60" hidden="false" customHeight="true" outlineLevel="0" collapsed="false">
      <c r="A158" s="7" t="s">
        <v>652</v>
      </c>
      <c r="B158" s="8" t="s">
        <v>523</v>
      </c>
      <c r="C158" s="8" t="s">
        <v>646</v>
      </c>
      <c r="D158" s="8" t="s">
        <v>568</v>
      </c>
      <c r="E158" s="8" t="s">
        <v>653</v>
      </c>
      <c r="F158" s="7" t="s">
        <v>22</v>
      </c>
      <c r="G158" s="7" t="s">
        <v>648</v>
      </c>
      <c r="H158" s="9" t="s">
        <v>649</v>
      </c>
      <c r="I158" s="8" t="s">
        <v>654</v>
      </c>
      <c r="J158" s="7" t="n">
        <v>0.27</v>
      </c>
      <c r="K158" s="7"/>
      <c r="L158" s="7" t="s">
        <v>253</v>
      </c>
      <c r="M158" s="8"/>
      <c r="N158" s="7" t="s">
        <v>27</v>
      </c>
      <c r="O158" s="8" t="s">
        <v>651</v>
      </c>
    </row>
    <row r="159" customFormat="false" ht="60" hidden="false" customHeight="true" outlineLevel="0" collapsed="false">
      <c r="A159" s="4" t="s">
        <v>655</v>
      </c>
      <c r="B159" s="5" t="s">
        <v>523</v>
      </c>
      <c r="C159" s="5" t="s">
        <v>646</v>
      </c>
      <c r="D159" s="5" t="s">
        <v>572</v>
      </c>
      <c r="E159" s="5" t="s">
        <v>656</v>
      </c>
      <c r="F159" s="4" t="s">
        <v>36</v>
      </c>
      <c r="G159" s="4" t="s">
        <v>648</v>
      </c>
      <c r="H159" s="6" t="s">
        <v>649</v>
      </c>
      <c r="I159" s="5" t="s">
        <v>657</v>
      </c>
      <c r="J159" s="4" t="n">
        <v>0.29</v>
      </c>
      <c r="K159" s="4"/>
      <c r="L159" s="4" t="s">
        <v>253</v>
      </c>
      <c r="M159" s="5"/>
      <c r="N159" s="4" t="s">
        <v>27</v>
      </c>
      <c r="O159" s="5" t="s">
        <v>651</v>
      </c>
    </row>
    <row r="160" customFormat="false" ht="60" hidden="false" customHeight="true" outlineLevel="0" collapsed="false">
      <c r="A160" s="7" t="s">
        <v>658</v>
      </c>
      <c r="B160" s="8" t="s">
        <v>523</v>
      </c>
      <c r="C160" s="8" t="s">
        <v>646</v>
      </c>
      <c r="D160" s="8" t="s">
        <v>618</v>
      </c>
      <c r="E160" s="8" t="s">
        <v>619</v>
      </c>
      <c r="F160" s="7" t="s">
        <v>36</v>
      </c>
      <c r="G160" s="7" t="s">
        <v>648</v>
      </c>
      <c r="H160" s="9" t="s">
        <v>649</v>
      </c>
      <c r="I160" s="8" t="s">
        <v>659</v>
      </c>
      <c r="J160" s="7" t="n">
        <v>0.78</v>
      </c>
      <c r="K160" s="7"/>
      <c r="L160" s="7" t="s">
        <v>253</v>
      </c>
      <c r="M160" s="8"/>
      <c r="N160" s="7" t="s">
        <v>27</v>
      </c>
      <c r="O160" s="8" t="s">
        <v>651</v>
      </c>
    </row>
    <row r="161" customFormat="false" ht="60" hidden="false" customHeight="true" outlineLevel="0" collapsed="false">
      <c r="A161" s="4" t="s">
        <v>660</v>
      </c>
      <c r="B161" s="5" t="s">
        <v>523</v>
      </c>
      <c r="C161" s="5" t="s">
        <v>646</v>
      </c>
      <c r="D161" s="5" t="s">
        <v>622</v>
      </c>
      <c r="E161" s="5" t="s">
        <v>623</v>
      </c>
      <c r="F161" s="4" t="s">
        <v>36</v>
      </c>
      <c r="G161" s="4" t="s">
        <v>648</v>
      </c>
      <c r="H161" s="6" t="s">
        <v>649</v>
      </c>
      <c r="I161" s="5" t="s">
        <v>661</v>
      </c>
      <c r="J161" s="4" t="n">
        <v>0.34</v>
      </c>
      <c r="K161" s="4"/>
      <c r="L161" s="4" t="s">
        <v>253</v>
      </c>
      <c r="M161" s="5"/>
      <c r="N161" s="4" t="s">
        <v>27</v>
      </c>
      <c r="O161" s="5" t="s">
        <v>651</v>
      </c>
    </row>
    <row r="162" customFormat="false" ht="60" hidden="false" customHeight="true" outlineLevel="0" collapsed="false">
      <c r="A162" s="7" t="s">
        <v>662</v>
      </c>
      <c r="B162" s="8" t="s">
        <v>523</v>
      </c>
      <c r="C162" s="8" t="s">
        <v>646</v>
      </c>
      <c r="D162" s="8" t="s">
        <v>626</v>
      </c>
      <c r="E162" s="8" t="s">
        <v>627</v>
      </c>
      <c r="F162" s="7" t="s">
        <v>67</v>
      </c>
      <c r="G162" s="7" t="s">
        <v>648</v>
      </c>
      <c r="H162" s="9" t="s">
        <v>649</v>
      </c>
      <c r="I162" s="8" t="s">
        <v>663</v>
      </c>
      <c r="J162" s="7" t="n">
        <v>0.22</v>
      </c>
      <c r="K162" s="7"/>
      <c r="L162" s="7" t="s">
        <v>253</v>
      </c>
      <c r="M162" s="8"/>
      <c r="N162" s="7" t="s">
        <v>27</v>
      </c>
      <c r="O162" s="8" t="s">
        <v>651</v>
      </c>
    </row>
    <row r="163" customFormat="false" ht="60" hidden="false" customHeight="true" outlineLevel="0" collapsed="false">
      <c r="A163" s="4" t="s">
        <v>664</v>
      </c>
      <c r="B163" s="5" t="s">
        <v>523</v>
      </c>
      <c r="C163" s="5" t="s">
        <v>646</v>
      </c>
      <c r="D163" s="5" t="s">
        <v>630</v>
      </c>
      <c r="E163" s="5" t="s">
        <v>631</v>
      </c>
      <c r="F163" s="4" t="s">
        <v>53</v>
      </c>
      <c r="G163" s="4" t="s">
        <v>648</v>
      </c>
      <c r="H163" s="6" t="s">
        <v>649</v>
      </c>
      <c r="I163" s="5" t="s">
        <v>665</v>
      </c>
      <c r="J163" s="4" t="n">
        <v>1.24</v>
      </c>
      <c r="K163" s="4"/>
      <c r="L163" s="4" t="s">
        <v>253</v>
      </c>
      <c r="M163" s="5"/>
      <c r="N163" s="4" t="s">
        <v>27</v>
      </c>
      <c r="O163" s="5" t="s">
        <v>651</v>
      </c>
    </row>
    <row r="164" customFormat="false" ht="60" hidden="false" customHeight="true" outlineLevel="0" collapsed="false">
      <c r="A164" s="7" t="s">
        <v>666</v>
      </c>
      <c r="B164" s="8" t="s">
        <v>523</v>
      </c>
      <c r="C164" s="8" t="s">
        <v>646</v>
      </c>
      <c r="D164" s="8" t="s">
        <v>634</v>
      </c>
      <c r="E164" s="8" t="s">
        <v>635</v>
      </c>
      <c r="F164" s="7" t="s">
        <v>58</v>
      </c>
      <c r="G164" s="7" t="s">
        <v>648</v>
      </c>
      <c r="H164" s="9" t="s">
        <v>649</v>
      </c>
      <c r="I164" s="8" t="s">
        <v>667</v>
      </c>
      <c r="J164" s="7" t="n">
        <v>0.96</v>
      </c>
      <c r="K164" s="7"/>
      <c r="L164" s="7" t="s">
        <v>253</v>
      </c>
      <c r="M164" s="8"/>
      <c r="N164" s="7" t="s">
        <v>27</v>
      </c>
      <c r="O164" s="8" t="s">
        <v>651</v>
      </c>
    </row>
    <row r="165" customFormat="false" ht="60" hidden="false" customHeight="true" outlineLevel="0" collapsed="false">
      <c r="A165" s="4" t="s">
        <v>668</v>
      </c>
      <c r="B165" s="5" t="s">
        <v>523</v>
      </c>
      <c r="C165" s="5" t="s">
        <v>646</v>
      </c>
      <c r="D165" s="5" t="s">
        <v>638</v>
      </c>
      <c r="E165" s="5" t="s">
        <v>639</v>
      </c>
      <c r="F165" s="4" t="s">
        <v>67</v>
      </c>
      <c r="G165" s="4" t="s">
        <v>648</v>
      </c>
      <c r="H165" s="6" t="s">
        <v>649</v>
      </c>
      <c r="I165" s="5" t="s">
        <v>669</v>
      </c>
      <c r="J165" s="4" t="n">
        <v>0.55</v>
      </c>
      <c r="K165" s="4"/>
      <c r="L165" s="4" t="s">
        <v>253</v>
      </c>
      <c r="M165" s="5"/>
      <c r="N165" s="4" t="s">
        <v>27</v>
      </c>
      <c r="O165" s="5" t="s">
        <v>651</v>
      </c>
    </row>
    <row r="166" customFormat="false" ht="60" hidden="false" customHeight="true" outlineLevel="0" collapsed="false">
      <c r="A166" s="7" t="s">
        <v>670</v>
      </c>
      <c r="B166" s="8" t="s">
        <v>523</v>
      </c>
      <c r="C166" s="8" t="s">
        <v>646</v>
      </c>
      <c r="D166" s="8" t="s">
        <v>642</v>
      </c>
      <c r="E166" s="8" t="s">
        <v>643</v>
      </c>
      <c r="F166" s="7" t="s">
        <v>76</v>
      </c>
      <c r="G166" s="7" t="s">
        <v>648</v>
      </c>
      <c r="H166" s="9" t="s">
        <v>649</v>
      </c>
      <c r="I166" s="8" t="s">
        <v>671</v>
      </c>
      <c r="J166" s="7" t="n">
        <v>0.37</v>
      </c>
      <c r="K166" s="7"/>
      <c r="L166" s="7" t="s">
        <v>253</v>
      </c>
      <c r="M166" s="8"/>
      <c r="N166" s="7" t="s">
        <v>27</v>
      </c>
      <c r="O166" s="8" t="s">
        <v>651</v>
      </c>
    </row>
    <row r="167" customFormat="false" ht="60" hidden="false" customHeight="true" outlineLevel="0" collapsed="false">
      <c r="A167" s="4" t="s">
        <v>672</v>
      </c>
      <c r="B167" s="5" t="s">
        <v>673</v>
      </c>
      <c r="C167" s="5" t="s">
        <v>674</v>
      </c>
      <c r="D167" s="5" t="s">
        <v>675</v>
      </c>
      <c r="E167" s="5" t="s">
        <v>676</v>
      </c>
      <c r="F167" s="4" t="s">
        <v>22</v>
      </c>
      <c r="G167" s="4" t="s">
        <v>648</v>
      </c>
      <c r="H167" s="6" t="s">
        <v>649</v>
      </c>
      <c r="I167" s="5" t="s">
        <v>677</v>
      </c>
      <c r="J167" s="4" t="n">
        <v>0.81</v>
      </c>
      <c r="K167" s="4"/>
      <c r="L167" s="4" t="s">
        <v>26</v>
      </c>
      <c r="M167" s="5"/>
      <c r="N167" s="4" t="s">
        <v>27</v>
      </c>
      <c r="O167" s="5" t="s">
        <v>678</v>
      </c>
    </row>
    <row r="168" customFormat="false" ht="60" hidden="false" customHeight="true" outlineLevel="0" collapsed="false">
      <c r="A168" s="7" t="s">
        <v>679</v>
      </c>
      <c r="B168" s="8" t="s">
        <v>673</v>
      </c>
      <c r="C168" s="8" t="s">
        <v>674</v>
      </c>
      <c r="D168" s="8" t="s">
        <v>680</v>
      </c>
      <c r="E168" s="8" t="s">
        <v>681</v>
      </c>
      <c r="F168" s="7" t="s">
        <v>22</v>
      </c>
      <c r="G168" s="7" t="s">
        <v>648</v>
      </c>
      <c r="H168" s="9" t="s">
        <v>649</v>
      </c>
      <c r="I168" s="8" t="s">
        <v>682</v>
      </c>
      <c r="J168" s="7" t="n">
        <v>0.65</v>
      </c>
      <c r="K168" s="7"/>
      <c r="L168" s="7" t="s">
        <v>26</v>
      </c>
      <c r="M168" s="8"/>
      <c r="N168" s="7" t="s">
        <v>27</v>
      </c>
      <c r="O168" s="8" t="s">
        <v>678</v>
      </c>
    </row>
    <row r="169" customFormat="false" ht="60" hidden="false" customHeight="true" outlineLevel="0" collapsed="false">
      <c r="A169" s="4" t="s">
        <v>683</v>
      </c>
      <c r="B169" s="5" t="s">
        <v>673</v>
      </c>
      <c r="C169" s="5" t="s">
        <v>674</v>
      </c>
      <c r="D169" s="5" t="s">
        <v>684</v>
      </c>
      <c r="E169" s="5" t="s">
        <v>685</v>
      </c>
      <c r="F169" s="4" t="s">
        <v>36</v>
      </c>
      <c r="G169" s="4" t="s">
        <v>648</v>
      </c>
      <c r="H169" s="6" t="s">
        <v>649</v>
      </c>
      <c r="I169" s="5" t="s">
        <v>686</v>
      </c>
      <c r="J169" s="4" t="n">
        <v>0.7</v>
      </c>
      <c r="K169" s="4"/>
      <c r="L169" s="4" t="s">
        <v>26</v>
      </c>
      <c r="M169" s="5"/>
      <c r="N169" s="4" t="s">
        <v>27</v>
      </c>
      <c r="O169" s="5" t="s">
        <v>678</v>
      </c>
    </row>
    <row r="170" customFormat="false" ht="60" hidden="false" customHeight="true" outlineLevel="0" collapsed="false">
      <c r="A170" s="7" t="s">
        <v>687</v>
      </c>
      <c r="B170" s="8" t="s">
        <v>673</v>
      </c>
      <c r="C170" s="8" t="s">
        <v>674</v>
      </c>
      <c r="D170" s="8" t="s">
        <v>688</v>
      </c>
      <c r="E170" s="8" t="s">
        <v>689</v>
      </c>
      <c r="F170" s="7" t="s">
        <v>36</v>
      </c>
      <c r="G170" s="7" t="s">
        <v>648</v>
      </c>
      <c r="H170" s="9" t="s">
        <v>649</v>
      </c>
      <c r="I170" s="8" t="s">
        <v>690</v>
      </c>
      <c r="J170" s="7" t="n">
        <v>1.88</v>
      </c>
      <c r="K170" s="7"/>
      <c r="L170" s="7" t="s">
        <v>26</v>
      </c>
      <c r="M170" s="8"/>
      <c r="N170" s="7" t="s">
        <v>27</v>
      </c>
      <c r="O170" s="8" t="s">
        <v>678</v>
      </c>
    </row>
    <row r="171" customFormat="false" ht="60" hidden="false" customHeight="true" outlineLevel="0" collapsed="false">
      <c r="A171" s="4" t="s">
        <v>691</v>
      </c>
      <c r="B171" s="5" t="s">
        <v>673</v>
      </c>
      <c r="C171" s="5" t="s">
        <v>674</v>
      </c>
      <c r="D171" s="5" t="s">
        <v>692</v>
      </c>
      <c r="E171" s="5" t="s">
        <v>693</v>
      </c>
      <c r="F171" s="4" t="s">
        <v>36</v>
      </c>
      <c r="G171" s="4" t="s">
        <v>648</v>
      </c>
      <c r="H171" s="6" t="s">
        <v>649</v>
      </c>
      <c r="I171" s="5" t="s">
        <v>694</v>
      </c>
      <c r="J171" s="4" t="n">
        <v>0.81</v>
      </c>
      <c r="K171" s="4"/>
      <c r="L171" s="4" t="s">
        <v>26</v>
      </c>
      <c r="M171" s="5"/>
      <c r="N171" s="4" t="s">
        <v>27</v>
      </c>
      <c r="O171" s="5" t="s">
        <v>678</v>
      </c>
    </row>
    <row r="172" customFormat="false" ht="60" hidden="false" customHeight="true" outlineLevel="0" collapsed="false">
      <c r="A172" s="7" t="s">
        <v>695</v>
      </c>
      <c r="B172" s="8" t="s">
        <v>673</v>
      </c>
      <c r="C172" s="8" t="s">
        <v>674</v>
      </c>
      <c r="D172" s="8" t="s">
        <v>696</v>
      </c>
      <c r="E172" s="8" t="s">
        <v>697</v>
      </c>
      <c r="F172" s="7" t="s">
        <v>67</v>
      </c>
      <c r="G172" s="7" t="s">
        <v>648</v>
      </c>
      <c r="H172" s="9" t="s">
        <v>649</v>
      </c>
      <c r="I172" s="8" t="s">
        <v>698</v>
      </c>
      <c r="J172" s="7" t="n">
        <v>0.54</v>
      </c>
      <c r="K172" s="7"/>
      <c r="L172" s="7" t="s">
        <v>26</v>
      </c>
      <c r="M172" s="8"/>
      <c r="N172" s="7" t="s">
        <v>27</v>
      </c>
      <c r="O172" s="8" t="s">
        <v>678</v>
      </c>
    </row>
    <row r="173" customFormat="false" ht="60" hidden="false" customHeight="true" outlineLevel="0" collapsed="false">
      <c r="A173" s="4" t="s">
        <v>699</v>
      </c>
      <c r="B173" s="5" t="s">
        <v>673</v>
      </c>
      <c r="C173" s="5" t="s">
        <v>674</v>
      </c>
      <c r="D173" s="5" t="s">
        <v>700</v>
      </c>
      <c r="E173" s="5" t="s">
        <v>701</v>
      </c>
      <c r="F173" s="4" t="s">
        <v>53</v>
      </c>
      <c r="G173" s="4" t="s">
        <v>648</v>
      </c>
      <c r="H173" s="6" t="s">
        <v>649</v>
      </c>
      <c r="I173" s="5" t="s">
        <v>702</v>
      </c>
      <c r="J173" s="4" t="n">
        <v>0.91</v>
      </c>
      <c r="K173" s="4"/>
      <c r="L173" s="4" t="s">
        <v>26</v>
      </c>
      <c r="M173" s="5"/>
      <c r="N173" s="4" t="s">
        <v>27</v>
      </c>
      <c r="O173" s="5" t="s">
        <v>678</v>
      </c>
    </row>
    <row r="174" customFormat="false" ht="60" hidden="false" customHeight="true" outlineLevel="0" collapsed="false">
      <c r="A174" s="7" t="s">
        <v>703</v>
      </c>
      <c r="B174" s="8" t="s">
        <v>673</v>
      </c>
      <c r="C174" s="8" t="s">
        <v>674</v>
      </c>
      <c r="D174" s="8" t="s">
        <v>704</v>
      </c>
      <c r="E174" s="8" t="s">
        <v>705</v>
      </c>
      <c r="F174" s="7" t="s">
        <v>58</v>
      </c>
      <c r="G174" s="7" t="s">
        <v>648</v>
      </c>
      <c r="H174" s="9" t="s">
        <v>649</v>
      </c>
      <c r="I174" s="8" t="s">
        <v>706</v>
      </c>
      <c r="J174" s="7" t="n">
        <v>0.71</v>
      </c>
      <c r="K174" s="7"/>
      <c r="L174" s="7" t="s">
        <v>26</v>
      </c>
      <c r="M174" s="8"/>
      <c r="N174" s="7" t="s">
        <v>27</v>
      </c>
      <c r="O174" s="8" t="s">
        <v>678</v>
      </c>
    </row>
    <row r="175" customFormat="false" ht="60" hidden="false" customHeight="true" outlineLevel="0" collapsed="false">
      <c r="A175" s="4" t="s">
        <v>707</v>
      </c>
      <c r="B175" s="5" t="s">
        <v>673</v>
      </c>
      <c r="C175" s="5" t="s">
        <v>674</v>
      </c>
      <c r="D175" s="5" t="s">
        <v>708</v>
      </c>
      <c r="E175" s="5" t="s">
        <v>709</v>
      </c>
      <c r="F175" s="4" t="s">
        <v>67</v>
      </c>
      <c r="G175" s="4" t="s">
        <v>648</v>
      </c>
      <c r="H175" s="6" t="s">
        <v>649</v>
      </c>
      <c r="I175" s="5" t="s">
        <v>710</v>
      </c>
      <c r="J175" s="4" t="n">
        <v>0.41</v>
      </c>
      <c r="K175" s="4"/>
      <c r="L175" s="4" t="s">
        <v>26</v>
      </c>
      <c r="M175" s="5"/>
      <c r="N175" s="4" t="s">
        <v>27</v>
      </c>
      <c r="O175" s="5" t="s">
        <v>678</v>
      </c>
    </row>
    <row r="176" customFormat="false" ht="60" hidden="false" customHeight="true" outlineLevel="0" collapsed="false">
      <c r="A176" s="7" t="s">
        <v>711</v>
      </c>
      <c r="B176" s="8" t="s">
        <v>673</v>
      </c>
      <c r="C176" s="8" t="s">
        <v>674</v>
      </c>
      <c r="D176" s="8" t="s">
        <v>712</v>
      </c>
      <c r="E176" s="8" t="s">
        <v>713</v>
      </c>
      <c r="F176" s="7" t="s">
        <v>76</v>
      </c>
      <c r="G176" s="7" t="s">
        <v>648</v>
      </c>
      <c r="H176" s="9" t="s">
        <v>649</v>
      </c>
      <c r="I176" s="8" t="s">
        <v>714</v>
      </c>
      <c r="J176" s="7" t="n">
        <v>0.71</v>
      </c>
      <c r="K176" s="7"/>
      <c r="L176" s="7" t="s">
        <v>26</v>
      </c>
      <c r="M176" s="8"/>
      <c r="N176" s="7" t="s">
        <v>27</v>
      </c>
      <c r="O176" s="8" t="s">
        <v>678</v>
      </c>
    </row>
    <row r="177" customFormat="false" ht="60" hidden="false" customHeight="true" outlineLevel="0" collapsed="false">
      <c r="A177" s="4" t="s">
        <v>715</v>
      </c>
      <c r="B177" s="5" t="s">
        <v>673</v>
      </c>
      <c r="C177" s="5" t="s">
        <v>716</v>
      </c>
      <c r="D177" s="5" t="s">
        <v>675</v>
      </c>
      <c r="E177" s="5" t="s">
        <v>676</v>
      </c>
      <c r="F177" s="4" t="s">
        <v>22</v>
      </c>
      <c r="G177" s="4" t="s">
        <v>648</v>
      </c>
      <c r="H177" s="6" t="s">
        <v>649</v>
      </c>
      <c r="I177" s="5" t="s">
        <v>717</v>
      </c>
      <c r="J177" s="4" t="n">
        <v>0.81</v>
      </c>
      <c r="K177" s="4"/>
      <c r="L177" s="4" t="s">
        <v>253</v>
      </c>
      <c r="M177" s="5"/>
      <c r="N177" s="4" t="s">
        <v>27</v>
      </c>
      <c r="O177" s="5" t="s">
        <v>718</v>
      </c>
    </row>
    <row r="178" customFormat="false" ht="60" hidden="false" customHeight="true" outlineLevel="0" collapsed="false">
      <c r="A178" s="7" t="s">
        <v>719</v>
      </c>
      <c r="B178" s="8" t="s">
        <v>673</v>
      </c>
      <c r="C178" s="8" t="s">
        <v>716</v>
      </c>
      <c r="D178" s="8" t="s">
        <v>680</v>
      </c>
      <c r="E178" s="8" t="s">
        <v>681</v>
      </c>
      <c r="F178" s="7" t="s">
        <v>22</v>
      </c>
      <c r="G178" s="7" t="s">
        <v>648</v>
      </c>
      <c r="H178" s="9" t="s">
        <v>649</v>
      </c>
      <c r="I178" s="8" t="s">
        <v>720</v>
      </c>
      <c r="J178" s="7" t="n">
        <v>0.65</v>
      </c>
      <c r="K178" s="7"/>
      <c r="L178" s="7" t="s">
        <v>253</v>
      </c>
      <c r="M178" s="8"/>
      <c r="N178" s="7" t="s">
        <v>27</v>
      </c>
      <c r="O178" s="8" t="s">
        <v>718</v>
      </c>
    </row>
    <row r="179" customFormat="false" ht="60" hidden="false" customHeight="true" outlineLevel="0" collapsed="false">
      <c r="A179" s="4" t="s">
        <v>721</v>
      </c>
      <c r="B179" s="5" t="s">
        <v>673</v>
      </c>
      <c r="C179" s="5" t="s">
        <v>716</v>
      </c>
      <c r="D179" s="5" t="s">
        <v>684</v>
      </c>
      <c r="E179" s="5" t="s">
        <v>685</v>
      </c>
      <c r="F179" s="4" t="s">
        <v>36</v>
      </c>
      <c r="G179" s="4" t="s">
        <v>648</v>
      </c>
      <c r="H179" s="6" t="s">
        <v>649</v>
      </c>
      <c r="I179" s="5" t="s">
        <v>722</v>
      </c>
      <c r="J179" s="4" t="n">
        <v>0.7</v>
      </c>
      <c r="K179" s="4"/>
      <c r="L179" s="4" t="s">
        <v>253</v>
      </c>
      <c r="M179" s="5"/>
      <c r="N179" s="4" t="s">
        <v>27</v>
      </c>
      <c r="O179" s="5" t="s">
        <v>718</v>
      </c>
    </row>
    <row r="180" customFormat="false" ht="60" hidden="false" customHeight="true" outlineLevel="0" collapsed="false">
      <c r="A180" s="7" t="s">
        <v>723</v>
      </c>
      <c r="B180" s="8" t="s">
        <v>673</v>
      </c>
      <c r="C180" s="8" t="s">
        <v>716</v>
      </c>
      <c r="D180" s="8" t="s">
        <v>688</v>
      </c>
      <c r="E180" s="8" t="s">
        <v>689</v>
      </c>
      <c r="F180" s="7" t="s">
        <v>36</v>
      </c>
      <c r="G180" s="7" t="s">
        <v>648</v>
      </c>
      <c r="H180" s="9" t="s">
        <v>649</v>
      </c>
      <c r="I180" s="8" t="s">
        <v>724</v>
      </c>
      <c r="J180" s="7" t="n">
        <v>1.88</v>
      </c>
      <c r="K180" s="7"/>
      <c r="L180" s="7" t="s">
        <v>253</v>
      </c>
      <c r="M180" s="8"/>
      <c r="N180" s="7" t="s">
        <v>27</v>
      </c>
      <c r="O180" s="8" t="s">
        <v>718</v>
      </c>
    </row>
    <row r="181" customFormat="false" ht="60" hidden="false" customHeight="true" outlineLevel="0" collapsed="false">
      <c r="A181" s="4" t="s">
        <v>725</v>
      </c>
      <c r="B181" s="5" t="s">
        <v>673</v>
      </c>
      <c r="C181" s="5" t="s">
        <v>716</v>
      </c>
      <c r="D181" s="5" t="s">
        <v>692</v>
      </c>
      <c r="E181" s="5" t="s">
        <v>693</v>
      </c>
      <c r="F181" s="4" t="s">
        <v>36</v>
      </c>
      <c r="G181" s="4" t="s">
        <v>648</v>
      </c>
      <c r="H181" s="6" t="s">
        <v>649</v>
      </c>
      <c r="I181" s="5" t="s">
        <v>726</v>
      </c>
      <c r="J181" s="4" t="n">
        <v>0.81</v>
      </c>
      <c r="K181" s="4"/>
      <c r="L181" s="4" t="s">
        <v>253</v>
      </c>
      <c r="M181" s="5"/>
      <c r="N181" s="4" t="s">
        <v>27</v>
      </c>
      <c r="O181" s="5" t="s">
        <v>718</v>
      </c>
    </row>
    <row r="182" customFormat="false" ht="60" hidden="false" customHeight="true" outlineLevel="0" collapsed="false">
      <c r="A182" s="7" t="s">
        <v>727</v>
      </c>
      <c r="B182" s="8" t="s">
        <v>673</v>
      </c>
      <c r="C182" s="8" t="s">
        <v>716</v>
      </c>
      <c r="D182" s="8" t="s">
        <v>696</v>
      </c>
      <c r="E182" s="8" t="s">
        <v>697</v>
      </c>
      <c r="F182" s="7" t="s">
        <v>67</v>
      </c>
      <c r="G182" s="7" t="s">
        <v>648</v>
      </c>
      <c r="H182" s="9" t="s">
        <v>649</v>
      </c>
      <c r="I182" s="8" t="s">
        <v>728</v>
      </c>
      <c r="J182" s="7" t="n">
        <v>0.54</v>
      </c>
      <c r="K182" s="7"/>
      <c r="L182" s="7" t="s">
        <v>253</v>
      </c>
      <c r="M182" s="8"/>
      <c r="N182" s="7" t="s">
        <v>27</v>
      </c>
      <c r="O182" s="8" t="s">
        <v>718</v>
      </c>
    </row>
    <row r="183" customFormat="false" ht="60" hidden="false" customHeight="true" outlineLevel="0" collapsed="false">
      <c r="A183" s="4" t="s">
        <v>729</v>
      </c>
      <c r="B183" s="5" t="s">
        <v>673</v>
      </c>
      <c r="C183" s="5" t="s">
        <v>716</v>
      </c>
      <c r="D183" s="5" t="s">
        <v>700</v>
      </c>
      <c r="E183" s="5" t="s">
        <v>701</v>
      </c>
      <c r="F183" s="4" t="s">
        <v>53</v>
      </c>
      <c r="G183" s="4" t="s">
        <v>648</v>
      </c>
      <c r="H183" s="6" t="s">
        <v>649</v>
      </c>
      <c r="I183" s="5" t="s">
        <v>730</v>
      </c>
      <c r="J183" s="4" t="n">
        <v>0.91</v>
      </c>
      <c r="K183" s="4"/>
      <c r="L183" s="4" t="s">
        <v>253</v>
      </c>
      <c r="M183" s="5"/>
      <c r="N183" s="4" t="s">
        <v>27</v>
      </c>
      <c r="O183" s="5" t="s">
        <v>718</v>
      </c>
    </row>
    <row r="184" customFormat="false" ht="60" hidden="false" customHeight="true" outlineLevel="0" collapsed="false">
      <c r="A184" s="7" t="s">
        <v>731</v>
      </c>
      <c r="B184" s="8" t="s">
        <v>673</v>
      </c>
      <c r="C184" s="8" t="s">
        <v>716</v>
      </c>
      <c r="D184" s="8" t="s">
        <v>704</v>
      </c>
      <c r="E184" s="8" t="s">
        <v>705</v>
      </c>
      <c r="F184" s="7" t="s">
        <v>58</v>
      </c>
      <c r="G184" s="7" t="s">
        <v>648</v>
      </c>
      <c r="H184" s="9" t="s">
        <v>649</v>
      </c>
      <c r="I184" s="8" t="s">
        <v>732</v>
      </c>
      <c r="J184" s="7" t="n">
        <v>0.71</v>
      </c>
      <c r="K184" s="7"/>
      <c r="L184" s="7" t="s">
        <v>253</v>
      </c>
      <c r="M184" s="8"/>
      <c r="N184" s="7" t="s">
        <v>27</v>
      </c>
      <c r="O184" s="8" t="s">
        <v>718</v>
      </c>
    </row>
    <row r="185" customFormat="false" ht="60" hidden="false" customHeight="true" outlineLevel="0" collapsed="false">
      <c r="A185" s="4" t="s">
        <v>733</v>
      </c>
      <c r="B185" s="5" t="s">
        <v>673</v>
      </c>
      <c r="C185" s="5" t="s">
        <v>716</v>
      </c>
      <c r="D185" s="5" t="s">
        <v>708</v>
      </c>
      <c r="E185" s="5" t="s">
        <v>709</v>
      </c>
      <c r="F185" s="4" t="s">
        <v>67</v>
      </c>
      <c r="G185" s="4" t="s">
        <v>648</v>
      </c>
      <c r="H185" s="6" t="s">
        <v>649</v>
      </c>
      <c r="I185" s="5" t="s">
        <v>734</v>
      </c>
      <c r="J185" s="4" t="n">
        <v>0.41</v>
      </c>
      <c r="K185" s="4"/>
      <c r="L185" s="4" t="s">
        <v>253</v>
      </c>
      <c r="M185" s="5"/>
      <c r="N185" s="4" t="s">
        <v>27</v>
      </c>
      <c r="O185" s="5" t="s">
        <v>718</v>
      </c>
    </row>
    <row r="186" customFormat="false" ht="60" hidden="false" customHeight="true" outlineLevel="0" collapsed="false">
      <c r="A186" s="7" t="s">
        <v>735</v>
      </c>
      <c r="B186" s="8" t="s">
        <v>673</v>
      </c>
      <c r="C186" s="8" t="s">
        <v>716</v>
      </c>
      <c r="D186" s="8" t="s">
        <v>712</v>
      </c>
      <c r="E186" s="8" t="s">
        <v>713</v>
      </c>
      <c r="F186" s="7" t="s">
        <v>76</v>
      </c>
      <c r="G186" s="7" t="s">
        <v>648</v>
      </c>
      <c r="H186" s="9" t="s">
        <v>649</v>
      </c>
      <c r="I186" s="8" t="s">
        <v>736</v>
      </c>
      <c r="J186" s="7" t="n">
        <v>0.71</v>
      </c>
      <c r="K186" s="7"/>
      <c r="L186" s="7" t="s">
        <v>253</v>
      </c>
      <c r="M186" s="8"/>
      <c r="N186" s="7" t="s">
        <v>27</v>
      </c>
      <c r="O186" s="8" t="s">
        <v>718</v>
      </c>
    </row>
    <row r="187" customFormat="false" ht="60" hidden="false" customHeight="true" outlineLevel="0" collapsed="false">
      <c r="A187" s="4" t="s">
        <v>737</v>
      </c>
      <c r="B187" s="5" t="s">
        <v>673</v>
      </c>
      <c r="C187" s="5" t="s">
        <v>738</v>
      </c>
      <c r="D187" s="5" t="s">
        <v>739</v>
      </c>
      <c r="E187" s="5" t="s">
        <v>740</v>
      </c>
      <c r="F187" s="4" t="s">
        <v>22</v>
      </c>
      <c r="G187" s="4" t="s">
        <v>648</v>
      </c>
      <c r="H187" s="6" t="s">
        <v>649</v>
      </c>
      <c r="I187" s="5" t="s">
        <v>741</v>
      </c>
      <c r="J187" s="4" t="n">
        <v>2.73</v>
      </c>
      <c r="K187" s="4"/>
      <c r="L187" s="4" t="s">
        <v>253</v>
      </c>
      <c r="M187" s="5"/>
      <c r="N187" s="4" t="s">
        <v>27</v>
      </c>
      <c r="O187" s="5" t="s">
        <v>742</v>
      </c>
    </row>
    <row r="188" customFormat="false" ht="60" hidden="false" customHeight="true" outlineLevel="0" collapsed="false">
      <c r="A188" s="7" t="s">
        <v>743</v>
      </c>
      <c r="B188" s="8" t="s">
        <v>673</v>
      </c>
      <c r="C188" s="8" t="s">
        <v>738</v>
      </c>
      <c r="D188" s="8" t="s">
        <v>744</v>
      </c>
      <c r="E188" s="8" t="s">
        <v>745</v>
      </c>
      <c r="F188" s="7" t="s">
        <v>22</v>
      </c>
      <c r="G188" s="7" t="s">
        <v>648</v>
      </c>
      <c r="H188" s="9" t="s">
        <v>649</v>
      </c>
      <c r="I188" s="8" t="s">
        <v>746</v>
      </c>
      <c r="J188" s="7" t="n">
        <v>2.18</v>
      </c>
      <c r="K188" s="7"/>
      <c r="L188" s="7" t="s">
        <v>253</v>
      </c>
      <c r="M188" s="8"/>
      <c r="N188" s="7" t="s">
        <v>27</v>
      </c>
      <c r="O188" s="8" t="s">
        <v>742</v>
      </c>
    </row>
    <row r="189" customFormat="false" ht="60" hidden="false" customHeight="true" outlineLevel="0" collapsed="false">
      <c r="A189" s="4" t="s">
        <v>747</v>
      </c>
      <c r="B189" s="5" t="s">
        <v>673</v>
      </c>
      <c r="C189" s="5" t="s">
        <v>738</v>
      </c>
      <c r="D189" s="5" t="s">
        <v>748</v>
      </c>
      <c r="E189" s="5" t="s">
        <v>749</v>
      </c>
      <c r="F189" s="4" t="s">
        <v>36</v>
      </c>
      <c r="G189" s="4" t="s">
        <v>648</v>
      </c>
      <c r="H189" s="6" t="s">
        <v>649</v>
      </c>
      <c r="I189" s="5" t="s">
        <v>750</v>
      </c>
      <c r="J189" s="4" t="n">
        <v>2.36</v>
      </c>
      <c r="K189" s="4"/>
      <c r="L189" s="4" t="s">
        <v>253</v>
      </c>
      <c r="M189" s="5"/>
      <c r="N189" s="4" t="s">
        <v>27</v>
      </c>
      <c r="O189" s="5" t="s">
        <v>742</v>
      </c>
    </row>
    <row r="190" customFormat="false" ht="60" hidden="false" customHeight="true" outlineLevel="0" collapsed="false">
      <c r="A190" s="7" t="s">
        <v>751</v>
      </c>
      <c r="B190" s="8" t="s">
        <v>673</v>
      </c>
      <c r="C190" s="8" t="s">
        <v>738</v>
      </c>
      <c r="D190" s="8" t="s">
        <v>752</v>
      </c>
      <c r="E190" s="8" t="s">
        <v>753</v>
      </c>
      <c r="F190" s="7" t="s">
        <v>36</v>
      </c>
      <c r="G190" s="7" t="s">
        <v>648</v>
      </c>
      <c r="H190" s="9" t="s">
        <v>649</v>
      </c>
      <c r="I190" s="8" t="s">
        <v>754</v>
      </c>
      <c r="J190" s="7" t="n">
        <v>6.37</v>
      </c>
      <c r="K190" s="7"/>
      <c r="L190" s="7" t="s">
        <v>253</v>
      </c>
      <c r="M190" s="8"/>
      <c r="N190" s="7" t="s">
        <v>27</v>
      </c>
      <c r="O190" s="8" t="s">
        <v>742</v>
      </c>
    </row>
    <row r="191" customFormat="false" ht="60" hidden="false" customHeight="true" outlineLevel="0" collapsed="false">
      <c r="A191" s="4" t="s">
        <v>755</v>
      </c>
      <c r="B191" s="5" t="s">
        <v>673</v>
      </c>
      <c r="C191" s="5" t="s">
        <v>738</v>
      </c>
      <c r="D191" s="5" t="s">
        <v>756</v>
      </c>
      <c r="E191" s="5" t="s">
        <v>757</v>
      </c>
      <c r="F191" s="4" t="s">
        <v>36</v>
      </c>
      <c r="G191" s="4" t="s">
        <v>648</v>
      </c>
      <c r="H191" s="6" t="s">
        <v>649</v>
      </c>
      <c r="I191" s="5" t="s">
        <v>758</v>
      </c>
      <c r="J191" s="4" t="n">
        <v>2.73</v>
      </c>
      <c r="K191" s="4"/>
      <c r="L191" s="4" t="s">
        <v>253</v>
      </c>
      <c r="M191" s="5"/>
      <c r="N191" s="4" t="s">
        <v>27</v>
      </c>
      <c r="O191" s="5" t="s">
        <v>742</v>
      </c>
    </row>
    <row r="192" customFormat="false" ht="60" hidden="false" customHeight="true" outlineLevel="0" collapsed="false">
      <c r="A192" s="7" t="s">
        <v>759</v>
      </c>
      <c r="B192" s="8" t="s">
        <v>673</v>
      </c>
      <c r="C192" s="8" t="s">
        <v>738</v>
      </c>
      <c r="D192" s="8" t="s">
        <v>760</v>
      </c>
      <c r="E192" s="8" t="s">
        <v>761</v>
      </c>
      <c r="F192" s="7" t="s">
        <v>67</v>
      </c>
      <c r="G192" s="7" t="s">
        <v>648</v>
      </c>
      <c r="H192" s="9" t="s">
        <v>649</v>
      </c>
      <c r="I192" s="8" t="s">
        <v>762</v>
      </c>
      <c r="J192" s="7" t="n">
        <v>1.82</v>
      </c>
      <c r="K192" s="7"/>
      <c r="L192" s="7" t="s">
        <v>253</v>
      </c>
      <c r="M192" s="8"/>
      <c r="N192" s="7" t="s">
        <v>27</v>
      </c>
      <c r="O192" s="8" t="s">
        <v>742</v>
      </c>
    </row>
    <row r="193" customFormat="false" ht="60" hidden="false" customHeight="true" outlineLevel="0" collapsed="false">
      <c r="A193" s="4" t="s">
        <v>763</v>
      </c>
      <c r="B193" s="5" t="s">
        <v>673</v>
      </c>
      <c r="C193" s="5" t="s">
        <v>738</v>
      </c>
      <c r="D193" s="5" t="s">
        <v>764</v>
      </c>
      <c r="E193" s="5" t="s">
        <v>765</v>
      </c>
      <c r="F193" s="4" t="s">
        <v>53</v>
      </c>
      <c r="G193" s="4" t="s">
        <v>648</v>
      </c>
      <c r="H193" s="6" t="s">
        <v>649</v>
      </c>
      <c r="I193" s="5" t="s">
        <v>766</v>
      </c>
      <c r="J193" s="4" t="n">
        <v>0.92</v>
      </c>
      <c r="K193" s="4"/>
      <c r="L193" s="4" t="s">
        <v>253</v>
      </c>
      <c r="M193" s="5"/>
      <c r="N193" s="4" t="s">
        <v>27</v>
      </c>
      <c r="O193" s="5" t="s">
        <v>742</v>
      </c>
    </row>
    <row r="194" customFormat="false" ht="60" hidden="false" customHeight="true" outlineLevel="0" collapsed="false">
      <c r="A194" s="7" t="s">
        <v>767</v>
      </c>
      <c r="B194" s="8" t="s">
        <v>673</v>
      </c>
      <c r="C194" s="8" t="s">
        <v>738</v>
      </c>
      <c r="D194" s="8" t="s">
        <v>768</v>
      </c>
      <c r="E194" s="8" t="s">
        <v>769</v>
      </c>
      <c r="F194" s="7" t="s">
        <v>58</v>
      </c>
      <c r="G194" s="7" t="s">
        <v>648</v>
      </c>
      <c r="H194" s="9" t="s">
        <v>649</v>
      </c>
      <c r="I194" s="8" t="s">
        <v>770</v>
      </c>
      <c r="J194" s="7" t="n">
        <v>0.72</v>
      </c>
      <c r="K194" s="7"/>
      <c r="L194" s="7" t="s">
        <v>253</v>
      </c>
      <c r="M194" s="8"/>
      <c r="N194" s="7" t="s">
        <v>27</v>
      </c>
      <c r="O194" s="8" t="s">
        <v>742</v>
      </c>
    </row>
    <row r="195" customFormat="false" ht="60" hidden="false" customHeight="true" outlineLevel="0" collapsed="false">
      <c r="A195" s="4" t="s">
        <v>771</v>
      </c>
      <c r="B195" s="5" t="s">
        <v>673</v>
      </c>
      <c r="C195" s="5" t="s">
        <v>738</v>
      </c>
      <c r="D195" s="5" t="s">
        <v>772</v>
      </c>
      <c r="E195" s="5" t="s">
        <v>773</v>
      </c>
      <c r="F195" s="4" t="s">
        <v>67</v>
      </c>
      <c r="G195" s="4" t="s">
        <v>648</v>
      </c>
      <c r="H195" s="6" t="s">
        <v>649</v>
      </c>
      <c r="I195" s="5" t="s">
        <v>774</v>
      </c>
      <c r="J195" s="4" t="n">
        <v>0.41</v>
      </c>
      <c r="K195" s="4"/>
      <c r="L195" s="4" t="s">
        <v>253</v>
      </c>
      <c r="M195" s="5"/>
      <c r="N195" s="4" t="s">
        <v>27</v>
      </c>
      <c r="O195" s="5" t="s">
        <v>742</v>
      </c>
    </row>
    <row r="196" customFormat="false" ht="60" hidden="false" customHeight="true" outlineLevel="0" collapsed="false">
      <c r="A196" s="7" t="s">
        <v>775</v>
      </c>
      <c r="B196" s="8" t="s">
        <v>673</v>
      </c>
      <c r="C196" s="8" t="s">
        <v>738</v>
      </c>
      <c r="D196" s="8" t="s">
        <v>776</v>
      </c>
      <c r="E196" s="8" t="s">
        <v>777</v>
      </c>
      <c r="F196" s="7" t="s">
        <v>76</v>
      </c>
      <c r="G196" s="7" t="s">
        <v>648</v>
      </c>
      <c r="H196" s="9" t="s">
        <v>649</v>
      </c>
      <c r="I196" s="8" t="s">
        <v>778</v>
      </c>
      <c r="J196" s="7" t="n">
        <v>1.21</v>
      </c>
      <c r="K196" s="7"/>
      <c r="L196" s="7" t="s">
        <v>253</v>
      </c>
      <c r="M196" s="8"/>
      <c r="N196" s="7" t="s">
        <v>27</v>
      </c>
      <c r="O196" s="8" t="s">
        <v>742</v>
      </c>
    </row>
    <row r="197" customFormat="false" ht="60" hidden="false" customHeight="true" outlineLevel="0" collapsed="false">
      <c r="A197" s="4" t="s">
        <v>779</v>
      </c>
      <c r="B197" s="5" t="s">
        <v>673</v>
      </c>
      <c r="C197" s="5" t="s">
        <v>780</v>
      </c>
      <c r="D197" s="5" t="s">
        <v>675</v>
      </c>
      <c r="E197" s="5" t="s">
        <v>781</v>
      </c>
      <c r="F197" s="4" t="s">
        <v>22</v>
      </c>
      <c r="G197" s="4" t="s">
        <v>648</v>
      </c>
      <c r="H197" s="6" t="s">
        <v>649</v>
      </c>
      <c r="I197" s="5" t="s">
        <v>782</v>
      </c>
      <c r="J197" s="4" t="n">
        <v>1.38</v>
      </c>
      <c r="K197" s="4"/>
      <c r="L197" s="4" t="s">
        <v>26</v>
      </c>
      <c r="M197" s="5"/>
      <c r="N197" s="4" t="s">
        <v>27</v>
      </c>
      <c r="O197" s="5" t="s">
        <v>783</v>
      </c>
    </row>
    <row r="198" customFormat="false" ht="60" hidden="false" customHeight="true" outlineLevel="0" collapsed="false">
      <c r="A198" s="7" t="s">
        <v>784</v>
      </c>
      <c r="B198" s="8" t="s">
        <v>673</v>
      </c>
      <c r="C198" s="8" t="s">
        <v>780</v>
      </c>
      <c r="D198" s="8" t="s">
        <v>680</v>
      </c>
      <c r="E198" s="8" t="s">
        <v>785</v>
      </c>
      <c r="F198" s="7" t="s">
        <v>22</v>
      </c>
      <c r="G198" s="7" t="s">
        <v>648</v>
      </c>
      <c r="H198" s="9" t="s">
        <v>649</v>
      </c>
      <c r="I198" s="8" t="s">
        <v>786</v>
      </c>
      <c r="J198" s="7" t="n">
        <v>1.1</v>
      </c>
      <c r="K198" s="7"/>
      <c r="L198" s="7" t="s">
        <v>26</v>
      </c>
      <c r="M198" s="8"/>
      <c r="N198" s="7" t="s">
        <v>27</v>
      </c>
      <c r="O198" s="8" t="s">
        <v>783</v>
      </c>
    </row>
    <row r="199" customFormat="false" ht="60" hidden="false" customHeight="true" outlineLevel="0" collapsed="false">
      <c r="A199" s="4" t="s">
        <v>787</v>
      </c>
      <c r="B199" s="5" t="s">
        <v>673</v>
      </c>
      <c r="C199" s="5" t="s">
        <v>780</v>
      </c>
      <c r="D199" s="5" t="s">
        <v>684</v>
      </c>
      <c r="E199" s="5" t="s">
        <v>788</v>
      </c>
      <c r="F199" s="4" t="s">
        <v>36</v>
      </c>
      <c r="G199" s="4" t="s">
        <v>648</v>
      </c>
      <c r="H199" s="6" t="s">
        <v>649</v>
      </c>
      <c r="I199" s="5" t="s">
        <v>789</v>
      </c>
      <c r="J199" s="4" t="n">
        <v>1.19</v>
      </c>
      <c r="K199" s="4"/>
      <c r="L199" s="4" t="s">
        <v>26</v>
      </c>
      <c r="M199" s="5"/>
      <c r="N199" s="4" t="s">
        <v>27</v>
      </c>
      <c r="O199" s="5" t="s">
        <v>783</v>
      </c>
    </row>
    <row r="200" customFormat="false" ht="60" hidden="false" customHeight="true" outlineLevel="0" collapsed="false">
      <c r="A200" s="7" t="s">
        <v>790</v>
      </c>
      <c r="B200" s="8" t="s">
        <v>673</v>
      </c>
      <c r="C200" s="8" t="s">
        <v>780</v>
      </c>
      <c r="D200" s="8" t="s">
        <v>791</v>
      </c>
      <c r="E200" s="8" t="s">
        <v>792</v>
      </c>
      <c r="F200" s="7" t="s">
        <v>36</v>
      </c>
      <c r="G200" s="7" t="s">
        <v>648</v>
      </c>
      <c r="H200" s="9" t="s">
        <v>649</v>
      </c>
      <c r="I200" s="8" t="s">
        <v>793</v>
      </c>
      <c r="J200" s="7" t="n">
        <v>3.21</v>
      </c>
      <c r="K200" s="7"/>
      <c r="L200" s="7" t="s">
        <v>26</v>
      </c>
      <c r="M200" s="8"/>
      <c r="N200" s="7" t="s">
        <v>27</v>
      </c>
      <c r="O200" s="8" t="s">
        <v>783</v>
      </c>
    </row>
    <row r="201" customFormat="false" ht="60" hidden="false" customHeight="true" outlineLevel="0" collapsed="false">
      <c r="A201" s="4" t="s">
        <v>794</v>
      </c>
      <c r="B201" s="5" t="s">
        <v>673</v>
      </c>
      <c r="C201" s="5" t="s">
        <v>780</v>
      </c>
      <c r="D201" s="5" t="s">
        <v>795</v>
      </c>
      <c r="E201" s="5" t="s">
        <v>796</v>
      </c>
      <c r="F201" s="4" t="s">
        <v>36</v>
      </c>
      <c r="G201" s="4" t="s">
        <v>648</v>
      </c>
      <c r="H201" s="6" t="s">
        <v>649</v>
      </c>
      <c r="I201" s="5" t="s">
        <v>797</v>
      </c>
      <c r="J201" s="4" t="n">
        <v>1.38</v>
      </c>
      <c r="K201" s="4"/>
      <c r="L201" s="4" t="s">
        <v>26</v>
      </c>
      <c r="M201" s="5"/>
      <c r="N201" s="4" t="s">
        <v>27</v>
      </c>
      <c r="O201" s="5" t="s">
        <v>783</v>
      </c>
    </row>
    <row r="202" customFormat="false" ht="60" hidden="false" customHeight="true" outlineLevel="0" collapsed="false">
      <c r="A202" s="7" t="s">
        <v>798</v>
      </c>
      <c r="B202" s="8" t="s">
        <v>673</v>
      </c>
      <c r="C202" s="8" t="s">
        <v>780</v>
      </c>
      <c r="D202" s="8" t="s">
        <v>799</v>
      </c>
      <c r="E202" s="8" t="s">
        <v>800</v>
      </c>
      <c r="F202" s="7" t="s">
        <v>67</v>
      </c>
      <c r="G202" s="7" t="s">
        <v>648</v>
      </c>
      <c r="H202" s="9" t="s">
        <v>649</v>
      </c>
      <c r="I202" s="8" t="s">
        <v>801</v>
      </c>
      <c r="J202" s="7" t="n">
        <v>0.92</v>
      </c>
      <c r="K202" s="7"/>
      <c r="L202" s="7" t="s">
        <v>26</v>
      </c>
      <c r="M202" s="8"/>
      <c r="N202" s="7" t="s">
        <v>27</v>
      </c>
      <c r="O202" s="8" t="s">
        <v>783</v>
      </c>
    </row>
    <row r="203" customFormat="false" ht="60" hidden="false" customHeight="true" outlineLevel="0" collapsed="false">
      <c r="A203" s="4" t="s">
        <v>802</v>
      </c>
      <c r="B203" s="5" t="s">
        <v>673</v>
      </c>
      <c r="C203" s="5" t="s">
        <v>780</v>
      </c>
      <c r="D203" s="5" t="s">
        <v>803</v>
      </c>
      <c r="E203" s="5" t="s">
        <v>804</v>
      </c>
      <c r="F203" s="4" t="s">
        <v>53</v>
      </c>
      <c r="G203" s="4" t="s">
        <v>648</v>
      </c>
      <c r="H203" s="6" t="s">
        <v>649</v>
      </c>
      <c r="I203" s="5" t="s">
        <v>805</v>
      </c>
      <c r="J203" s="4" t="n">
        <v>0.47</v>
      </c>
      <c r="K203" s="4"/>
      <c r="L203" s="4" t="s">
        <v>26</v>
      </c>
      <c r="M203" s="5"/>
      <c r="N203" s="4" t="s">
        <v>27</v>
      </c>
      <c r="O203" s="5" t="s">
        <v>783</v>
      </c>
    </row>
    <row r="204" customFormat="false" ht="60" hidden="false" customHeight="true" outlineLevel="0" collapsed="false">
      <c r="A204" s="7" t="s">
        <v>806</v>
      </c>
      <c r="B204" s="8" t="s">
        <v>673</v>
      </c>
      <c r="C204" s="8" t="s">
        <v>780</v>
      </c>
      <c r="D204" s="8" t="s">
        <v>807</v>
      </c>
      <c r="E204" s="8" t="s">
        <v>808</v>
      </c>
      <c r="F204" s="7" t="s">
        <v>58</v>
      </c>
      <c r="G204" s="7" t="s">
        <v>648</v>
      </c>
      <c r="H204" s="9" t="s">
        <v>649</v>
      </c>
      <c r="I204" s="8" t="s">
        <v>809</v>
      </c>
      <c r="J204" s="7" t="n">
        <v>0.36</v>
      </c>
      <c r="K204" s="7"/>
      <c r="L204" s="7" t="s">
        <v>26</v>
      </c>
      <c r="M204" s="8"/>
      <c r="N204" s="7" t="s">
        <v>27</v>
      </c>
      <c r="O204" s="8" t="s">
        <v>783</v>
      </c>
    </row>
    <row r="205" customFormat="false" ht="60" hidden="false" customHeight="true" outlineLevel="0" collapsed="false">
      <c r="A205" s="4" t="s">
        <v>810</v>
      </c>
      <c r="B205" s="5" t="s">
        <v>673</v>
      </c>
      <c r="C205" s="5" t="s">
        <v>780</v>
      </c>
      <c r="D205" s="5" t="s">
        <v>811</v>
      </c>
      <c r="E205" s="5" t="s">
        <v>812</v>
      </c>
      <c r="F205" s="4" t="s">
        <v>67</v>
      </c>
      <c r="G205" s="4" t="s">
        <v>648</v>
      </c>
      <c r="H205" s="6" t="s">
        <v>649</v>
      </c>
      <c r="I205" s="5" t="s">
        <v>813</v>
      </c>
      <c r="J205" s="4" t="n">
        <v>0.21</v>
      </c>
      <c r="K205" s="4"/>
      <c r="L205" s="4" t="s">
        <v>26</v>
      </c>
      <c r="M205" s="5"/>
      <c r="N205" s="4" t="s">
        <v>27</v>
      </c>
      <c r="O205" s="5" t="s">
        <v>783</v>
      </c>
    </row>
    <row r="206" customFormat="false" ht="60" hidden="false" customHeight="true" outlineLevel="0" collapsed="false">
      <c r="A206" s="7" t="s">
        <v>814</v>
      </c>
      <c r="B206" s="8" t="s">
        <v>673</v>
      </c>
      <c r="C206" s="8" t="s">
        <v>780</v>
      </c>
      <c r="D206" s="8" t="s">
        <v>815</v>
      </c>
      <c r="E206" s="8" t="s">
        <v>816</v>
      </c>
      <c r="F206" s="7" t="s">
        <v>76</v>
      </c>
      <c r="G206" s="7" t="s">
        <v>648</v>
      </c>
      <c r="H206" s="9" t="s">
        <v>649</v>
      </c>
      <c r="I206" s="8" t="s">
        <v>817</v>
      </c>
      <c r="J206" s="7" t="n">
        <v>0.6</v>
      </c>
      <c r="K206" s="7"/>
      <c r="L206" s="7" t="s">
        <v>26</v>
      </c>
      <c r="M206" s="8"/>
      <c r="N206" s="7" t="s">
        <v>27</v>
      </c>
      <c r="O206" s="8" t="s">
        <v>783</v>
      </c>
    </row>
    <row r="207" customFormat="false" ht="60" hidden="false" customHeight="true" outlineLevel="0" collapsed="false">
      <c r="A207" s="4" t="s">
        <v>818</v>
      </c>
      <c r="B207" s="5" t="s">
        <v>819</v>
      </c>
      <c r="C207" s="5" t="s">
        <v>820</v>
      </c>
      <c r="D207" s="5" t="s">
        <v>821</v>
      </c>
      <c r="E207" s="5" t="s">
        <v>822</v>
      </c>
      <c r="F207" s="4" t="s">
        <v>22</v>
      </c>
      <c r="G207" s="4" t="s">
        <v>823</v>
      </c>
      <c r="H207" s="6" t="s">
        <v>824</v>
      </c>
      <c r="I207" s="5" t="s">
        <v>825</v>
      </c>
      <c r="J207" s="4" t="n">
        <v>1.72</v>
      </c>
      <c r="K207" s="4"/>
      <c r="L207" s="4" t="s">
        <v>26</v>
      </c>
      <c r="M207" s="5"/>
      <c r="N207" s="4" t="s">
        <v>27</v>
      </c>
      <c r="O207" s="5" t="s">
        <v>826</v>
      </c>
    </row>
    <row r="208" customFormat="false" ht="60" hidden="false" customHeight="true" outlineLevel="0" collapsed="false">
      <c r="A208" s="7" t="s">
        <v>827</v>
      </c>
      <c r="B208" s="8" t="s">
        <v>819</v>
      </c>
      <c r="C208" s="8" t="s">
        <v>820</v>
      </c>
      <c r="D208" s="8" t="s">
        <v>828</v>
      </c>
      <c r="E208" s="8" t="s">
        <v>829</v>
      </c>
      <c r="F208" s="7" t="s">
        <v>22</v>
      </c>
      <c r="G208" s="7" t="s">
        <v>823</v>
      </c>
      <c r="H208" s="9" t="s">
        <v>824</v>
      </c>
      <c r="I208" s="8" t="s">
        <v>830</v>
      </c>
      <c r="J208" s="7" t="n">
        <v>1.38</v>
      </c>
      <c r="K208" s="7"/>
      <c r="L208" s="7" t="s">
        <v>26</v>
      </c>
      <c r="M208" s="8"/>
      <c r="N208" s="7" t="s">
        <v>27</v>
      </c>
      <c r="O208" s="8" t="s">
        <v>826</v>
      </c>
    </row>
    <row r="209" customFormat="false" ht="60" hidden="false" customHeight="true" outlineLevel="0" collapsed="false">
      <c r="A209" s="4" t="s">
        <v>831</v>
      </c>
      <c r="B209" s="5" t="s">
        <v>819</v>
      </c>
      <c r="C209" s="5" t="s">
        <v>820</v>
      </c>
      <c r="D209" s="5" t="s">
        <v>832</v>
      </c>
      <c r="E209" s="5" t="s">
        <v>833</v>
      </c>
      <c r="F209" s="4" t="s">
        <v>36</v>
      </c>
      <c r="G209" s="4" t="s">
        <v>823</v>
      </c>
      <c r="H209" s="6" t="s">
        <v>824</v>
      </c>
      <c r="I209" s="5" t="s">
        <v>834</v>
      </c>
      <c r="J209" s="4" t="n">
        <v>1.49</v>
      </c>
      <c r="K209" s="4"/>
      <c r="L209" s="4" t="s">
        <v>26</v>
      </c>
      <c r="M209" s="5"/>
      <c r="N209" s="4" t="s">
        <v>27</v>
      </c>
      <c r="O209" s="5" t="s">
        <v>826</v>
      </c>
    </row>
    <row r="210" customFormat="false" ht="60" hidden="false" customHeight="true" outlineLevel="0" collapsed="false">
      <c r="A210" s="7" t="s">
        <v>835</v>
      </c>
      <c r="B210" s="8" t="s">
        <v>819</v>
      </c>
      <c r="C210" s="8" t="s">
        <v>820</v>
      </c>
      <c r="D210" s="8" t="s">
        <v>836</v>
      </c>
      <c r="E210" s="8" t="s">
        <v>837</v>
      </c>
      <c r="F210" s="7" t="s">
        <v>36</v>
      </c>
      <c r="G210" s="7" t="s">
        <v>823</v>
      </c>
      <c r="H210" s="9" t="s">
        <v>824</v>
      </c>
      <c r="I210" s="8" t="s">
        <v>838</v>
      </c>
      <c r="J210" s="7" t="n">
        <v>4.01</v>
      </c>
      <c r="K210" s="7"/>
      <c r="L210" s="7" t="s">
        <v>26</v>
      </c>
      <c r="M210" s="8"/>
      <c r="N210" s="7" t="s">
        <v>27</v>
      </c>
      <c r="O210" s="8" t="s">
        <v>826</v>
      </c>
    </row>
    <row r="211" customFormat="false" ht="60" hidden="false" customHeight="true" outlineLevel="0" collapsed="false">
      <c r="A211" s="4" t="s">
        <v>839</v>
      </c>
      <c r="B211" s="5" t="s">
        <v>819</v>
      </c>
      <c r="C211" s="5" t="s">
        <v>820</v>
      </c>
      <c r="D211" s="5" t="s">
        <v>840</v>
      </c>
      <c r="E211" s="5" t="s">
        <v>841</v>
      </c>
      <c r="F211" s="4" t="s">
        <v>36</v>
      </c>
      <c r="G211" s="4" t="s">
        <v>823</v>
      </c>
      <c r="H211" s="6" t="s">
        <v>824</v>
      </c>
      <c r="I211" s="5" t="s">
        <v>842</v>
      </c>
      <c r="J211" s="4" t="n">
        <v>1.72</v>
      </c>
      <c r="K211" s="4"/>
      <c r="L211" s="4" t="s">
        <v>26</v>
      </c>
      <c r="M211" s="5"/>
      <c r="N211" s="4" t="s">
        <v>27</v>
      </c>
      <c r="O211" s="5" t="s">
        <v>826</v>
      </c>
    </row>
    <row r="212" customFormat="false" ht="60" hidden="false" customHeight="true" outlineLevel="0" collapsed="false">
      <c r="A212" s="7" t="s">
        <v>843</v>
      </c>
      <c r="B212" s="8" t="s">
        <v>819</v>
      </c>
      <c r="C212" s="8" t="s">
        <v>820</v>
      </c>
      <c r="D212" s="8" t="s">
        <v>844</v>
      </c>
      <c r="E212" s="8" t="s">
        <v>845</v>
      </c>
      <c r="F212" s="7" t="s">
        <v>67</v>
      </c>
      <c r="G212" s="7" t="s">
        <v>823</v>
      </c>
      <c r="H212" s="9" t="s">
        <v>824</v>
      </c>
      <c r="I212" s="8" t="s">
        <v>846</v>
      </c>
      <c r="J212" s="7" t="n">
        <v>1.15</v>
      </c>
      <c r="K212" s="7"/>
      <c r="L212" s="7" t="s">
        <v>26</v>
      </c>
      <c r="M212" s="8"/>
      <c r="N212" s="7" t="s">
        <v>27</v>
      </c>
      <c r="O212" s="8" t="s">
        <v>826</v>
      </c>
    </row>
    <row r="213" customFormat="false" ht="60" hidden="false" customHeight="true" outlineLevel="0" collapsed="false">
      <c r="A213" s="4" t="s">
        <v>847</v>
      </c>
      <c r="B213" s="5" t="s">
        <v>819</v>
      </c>
      <c r="C213" s="5" t="s">
        <v>820</v>
      </c>
      <c r="D213" s="5" t="s">
        <v>848</v>
      </c>
      <c r="E213" s="5" t="s">
        <v>849</v>
      </c>
      <c r="F213" s="4" t="s">
        <v>53</v>
      </c>
      <c r="G213" s="4" t="s">
        <v>823</v>
      </c>
      <c r="H213" s="6" t="s">
        <v>824</v>
      </c>
      <c r="I213" s="5" t="s">
        <v>850</v>
      </c>
      <c r="J213" s="4" t="n">
        <v>0.58</v>
      </c>
      <c r="K213" s="4"/>
      <c r="L213" s="4" t="s">
        <v>26</v>
      </c>
      <c r="M213" s="5"/>
      <c r="N213" s="4" t="s">
        <v>27</v>
      </c>
      <c r="O213" s="5" t="s">
        <v>826</v>
      </c>
    </row>
    <row r="214" customFormat="false" ht="60" hidden="false" customHeight="true" outlineLevel="0" collapsed="false">
      <c r="A214" s="7" t="s">
        <v>851</v>
      </c>
      <c r="B214" s="8" t="s">
        <v>819</v>
      </c>
      <c r="C214" s="8" t="s">
        <v>820</v>
      </c>
      <c r="D214" s="8" t="s">
        <v>852</v>
      </c>
      <c r="E214" s="8" t="s">
        <v>853</v>
      </c>
      <c r="F214" s="7" t="s">
        <v>58</v>
      </c>
      <c r="G214" s="7" t="s">
        <v>823</v>
      </c>
      <c r="H214" s="9" t="s">
        <v>824</v>
      </c>
      <c r="I214" s="8" t="s">
        <v>854</v>
      </c>
      <c r="J214" s="7" t="n">
        <v>0.45</v>
      </c>
      <c r="K214" s="7"/>
      <c r="L214" s="7" t="s">
        <v>26</v>
      </c>
      <c r="M214" s="8"/>
      <c r="N214" s="7" t="s">
        <v>27</v>
      </c>
      <c r="O214" s="8" t="s">
        <v>826</v>
      </c>
    </row>
    <row r="215" customFormat="false" ht="60" hidden="false" customHeight="true" outlineLevel="0" collapsed="false">
      <c r="A215" s="4" t="s">
        <v>855</v>
      </c>
      <c r="B215" s="5" t="s">
        <v>819</v>
      </c>
      <c r="C215" s="5" t="s">
        <v>820</v>
      </c>
      <c r="D215" s="5" t="s">
        <v>856</v>
      </c>
      <c r="E215" s="5" t="s">
        <v>857</v>
      </c>
      <c r="F215" s="4" t="s">
        <v>67</v>
      </c>
      <c r="G215" s="4" t="s">
        <v>823</v>
      </c>
      <c r="H215" s="6" t="s">
        <v>824</v>
      </c>
      <c r="I215" s="5" t="s">
        <v>858</v>
      </c>
      <c r="J215" s="4" t="n">
        <v>0.26</v>
      </c>
      <c r="K215" s="4"/>
      <c r="L215" s="4" t="s">
        <v>26</v>
      </c>
      <c r="M215" s="5"/>
      <c r="N215" s="4" t="s">
        <v>27</v>
      </c>
      <c r="O215" s="5" t="s">
        <v>826</v>
      </c>
    </row>
    <row r="216" customFormat="false" ht="60" hidden="false" customHeight="true" outlineLevel="0" collapsed="false">
      <c r="A216" s="7" t="s">
        <v>859</v>
      </c>
      <c r="B216" s="8" t="s">
        <v>819</v>
      </c>
      <c r="C216" s="8" t="s">
        <v>820</v>
      </c>
      <c r="D216" s="8" t="s">
        <v>860</v>
      </c>
      <c r="E216" s="8" t="s">
        <v>861</v>
      </c>
      <c r="F216" s="7" t="s">
        <v>76</v>
      </c>
      <c r="G216" s="7" t="s">
        <v>823</v>
      </c>
      <c r="H216" s="9" t="s">
        <v>824</v>
      </c>
      <c r="I216" s="8" t="s">
        <v>862</v>
      </c>
      <c r="J216" s="7" t="n">
        <v>0.76</v>
      </c>
      <c r="K216" s="7"/>
      <c r="L216" s="7" t="s">
        <v>26</v>
      </c>
      <c r="M216" s="8"/>
      <c r="N216" s="7" t="s">
        <v>27</v>
      </c>
      <c r="O216" s="8" t="s">
        <v>826</v>
      </c>
    </row>
    <row r="217" customFormat="false" ht="60" hidden="false" customHeight="true" outlineLevel="0" collapsed="false">
      <c r="A217" s="4" t="s">
        <v>863</v>
      </c>
      <c r="B217" s="5" t="s">
        <v>819</v>
      </c>
      <c r="C217" s="5" t="s">
        <v>864</v>
      </c>
      <c r="D217" s="5" t="s">
        <v>865</v>
      </c>
      <c r="E217" s="5" t="s">
        <v>866</v>
      </c>
      <c r="F217" s="4" t="s">
        <v>22</v>
      </c>
      <c r="G217" s="4" t="s">
        <v>823</v>
      </c>
      <c r="H217" s="6" t="s">
        <v>824</v>
      </c>
      <c r="I217" s="5" t="s">
        <v>867</v>
      </c>
      <c r="J217" s="4" t="n">
        <v>1.72</v>
      </c>
      <c r="K217" s="4"/>
      <c r="L217" s="4" t="s">
        <v>26</v>
      </c>
      <c r="M217" s="5"/>
      <c r="N217" s="4" t="s">
        <v>27</v>
      </c>
      <c r="O217" s="5" t="s">
        <v>868</v>
      </c>
    </row>
    <row r="218" customFormat="false" ht="60" hidden="false" customHeight="true" outlineLevel="0" collapsed="false">
      <c r="A218" s="7" t="s">
        <v>869</v>
      </c>
      <c r="B218" s="8" t="s">
        <v>819</v>
      </c>
      <c r="C218" s="8" t="s">
        <v>864</v>
      </c>
      <c r="D218" s="8" t="s">
        <v>870</v>
      </c>
      <c r="E218" s="8" t="s">
        <v>871</v>
      </c>
      <c r="F218" s="7" t="s">
        <v>22</v>
      </c>
      <c r="G218" s="7" t="s">
        <v>823</v>
      </c>
      <c r="H218" s="9" t="s">
        <v>824</v>
      </c>
      <c r="I218" s="8" t="s">
        <v>872</v>
      </c>
      <c r="J218" s="7" t="n">
        <v>1.38</v>
      </c>
      <c r="K218" s="7"/>
      <c r="L218" s="7" t="s">
        <v>26</v>
      </c>
      <c r="M218" s="8"/>
      <c r="N218" s="7" t="s">
        <v>27</v>
      </c>
      <c r="O218" s="8" t="s">
        <v>868</v>
      </c>
    </row>
    <row r="219" customFormat="false" ht="60" hidden="false" customHeight="true" outlineLevel="0" collapsed="false">
      <c r="A219" s="4" t="s">
        <v>873</v>
      </c>
      <c r="B219" s="5" t="s">
        <v>819</v>
      </c>
      <c r="C219" s="5" t="s">
        <v>864</v>
      </c>
      <c r="D219" s="5" t="s">
        <v>874</v>
      </c>
      <c r="E219" s="5" t="s">
        <v>875</v>
      </c>
      <c r="F219" s="4" t="s">
        <v>36</v>
      </c>
      <c r="G219" s="4" t="s">
        <v>823</v>
      </c>
      <c r="H219" s="6" t="s">
        <v>824</v>
      </c>
      <c r="I219" s="5" t="s">
        <v>876</v>
      </c>
      <c r="J219" s="4" t="n">
        <v>1.49</v>
      </c>
      <c r="K219" s="4"/>
      <c r="L219" s="4" t="s">
        <v>26</v>
      </c>
      <c r="M219" s="5"/>
      <c r="N219" s="4" t="s">
        <v>27</v>
      </c>
      <c r="O219" s="5" t="s">
        <v>868</v>
      </c>
    </row>
    <row r="220" customFormat="false" ht="60" hidden="false" customHeight="true" outlineLevel="0" collapsed="false">
      <c r="A220" s="7" t="s">
        <v>877</v>
      </c>
      <c r="B220" s="8" t="s">
        <v>819</v>
      </c>
      <c r="C220" s="8" t="s">
        <v>864</v>
      </c>
      <c r="D220" s="8" t="s">
        <v>878</v>
      </c>
      <c r="E220" s="8" t="s">
        <v>879</v>
      </c>
      <c r="F220" s="7" t="s">
        <v>36</v>
      </c>
      <c r="G220" s="7" t="s">
        <v>823</v>
      </c>
      <c r="H220" s="9" t="s">
        <v>824</v>
      </c>
      <c r="I220" s="8" t="s">
        <v>880</v>
      </c>
      <c r="J220" s="7" t="n">
        <v>4.01</v>
      </c>
      <c r="K220" s="7"/>
      <c r="L220" s="7" t="s">
        <v>26</v>
      </c>
      <c r="M220" s="8"/>
      <c r="N220" s="7" t="s">
        <v>27</v>
      </c>
      <c r="O220" s="8" t="s">
        <v>868</v>
      </c>
    </row>
    <row r="221" customFormat="false" ht="60" hidden="false" customHeight="true" outlineLevel="0" collapsed="false">
      <c r="A221" s="4" t="s">
        <v>881</v>
      </c>
      <c r="B221" s="5" t="s">
        <v>819</v>
      </c>
      <c r="C221" s="5" t="s">
        <v>864</v>
      </c>
      <c r="D221" s="5" t="s">
        <v>882</v>
      </c>
      <c r="E221" s="5" t="s">
        <v>883</v>
      </c>
      <c r="F221" s="4" t="s">
        <v>36</v>
      </c>
      <c r="G221" s="4" t="s">
        <v>823</v>
      </c>
      <c r="H221" s="6" t="s">
        <v>824</v>
      </c>
      <c r="I221" s="5" t="s">
        <v>884</v>
      </c>
      <c r="J221" s="4" t="n">
        <v>1.72</v>
      </c>
      <c r="K221" s="4"/>
      <c r="L221" s="4" t="s">
        <v>26</v>
      </c>
      <c r="M221" s="5"/>
      <c r="N221" s="4" t="s">
        <v>27</v>
      </c>
      <c r="O221" s="5" t="s">
        <v>868</v>
      </c>
    </row>
    <row r="222" customFormat="false" ht="60" hidden="false" customHeight="true" outlineLevel="0" collapsed="false">
      <c r="A222" s="7" t="s">
        <v>885</v>
      </c>
      <c r="B222" s="8" t="s">
        <v>819</v>
      </c>
      <c r="C222" s="8" t="s">
        <v>864</v>
      </c>
      <c r="D222" s="8" t="s">
        <v>886</v>
      </c>
      <c r="E222" s="8" t="s">
        <v>887</v>
      </c>
      <c r="F222" s="7" t="s">
        <v>67</v>
      </c>
      <c r="G222" s="7" t="s">
        <v>823</v>
      </c>
      <c r="H222" s="9" t="s">
        <v>824</v>
      </c>
      <c r="I222" s="8" t="s">
        <v>888</v>
      </c>
      <c r="J222" s="7" t="n">
        <v>1.15</v>
      </c>
      <c r="K222" s="7"/>
      <c r="L222" s="7" t="s">
        <v>26</v>
      </c>
      <c r="M222" s="8"/>
      <c r="N222" s="7" t="s">
        <v>27</v>
      </c>
      <c r="O222" s="8" t="s">
        <v>868</v>
      </c>
    </row>
    <row r="223" customFormat="false" ht="60" hidden="false" customHeight="true" outlineLevel="0" collapsed="false">
      <c r="A223" s="4" t="s">
        <v>889</v>
      </c>
      <c r="B223" s="5" t="s">
        <v>819</v>
      </c>
      <c r="C223" s="5" t="s">
        <v>864</v>
      </c>
      <c r="D223" s="5" t="s">
        <v>890</v>
      </c>
      <c r="E223" s="5" t="s">
        <v>891</v>
      </c>
      <c r="F223" s="4" t="s">
        <v>53</v>
      </c>
      <c r="G223" s="4" t="s">
        <v>823</v>
      </c>
      <c r="H223" s="6" t="s">
        <v>824</v>
      </c>
      <c r="I223" s="5" t="s">
        <v>892</v>
      </c>
      <c r="J223" s="4" t="n">
        <v>0.58</v>
      </c>
      <c r="K223" s="4"/>
      <c r="L223" s="4" t="s">
        <v>26</v>
      </c>
      <c r="M223" s="5"/>
      <c r="N223" s="4" t="s">
        <v>27</v>
      </c>
      <c r="O223" s="5" t="s">
        <v>868</v>
      </c>
    </row>
    <row r="224" customFormat="false" ht="60" hidden="false" customHeight="true" outlineLevel="0" collapsed="false">
      <c r="A224" s="7" t="s">
        <v>893</v>
      </c>
      <c r="B224" s="8" t="s">
        <v>819</v>
      </c>
      <c r="C224" s="8" t="s">
        <v>864</v>
      </c>
      <c r="D224" s="8" t="s">
        <v>894</v>
      </c>
      <c r="E224" s="8" t="s">
        <v>895</v>
      </c>
      <c r="F224" s="7" t="s">
        <v>58</v>
      </c>
      <c r="G224" s="7" t="s">
        <v>823</v>
      </c>
      <c r="H224" s="9" t="s">
        <v>824</v>
      </c>
      <c r="I224" s="8" t="s">
        <v>896</v>
      </c>
      <c r="J224" s="7" t="n">
        <v>0.45</v>
      </c>
      <c r="K224" s="7"/>
      <c r="L224" s="7" t="s">
        <v>26</v>
      </c>
      <c r="M224" s="8"/>
      <c r="N224" s="7" t="s">
        <v>27</v>
      </c>
      <c r="O224" s="8" t="s">
        <v>868</v>
      </c>
    </row>
    <row r="225" customFormat="false" ht="60" hidden="false" customHeight="true" outlineLevel="0" collapsed="false">
      <c r="A225" s="4" t="s">
        <v>897</v>
      </c>
      <c r="B225" s="5" t="s">
        <v>819</v>
      </c>
      <c r="C225" s="5" t="s">
        <v>864</v>
      </c>
      <c r="D225" s="5" t="s">
        <v>898</v>
      </c>
      <c r="E225" s="5" t="s">
        <v>899</v>
      </c>
      <c r="F225" s="4" t="s">
        <v>67</v>
      </c>
      <c r="G225" s="4" t="s">
        <v>823</v>
      </c>
      <c r="H225" s="6" t="s">
        <v>824</v>
      </c>
      <c r="I225" s="5" t="s">
        <v>900</v>
      </c>
      <c r="J225" s="4" t="n">
        <v>0.26</v>
      </c>
      <c r="K225" s="4"/>
      <c r="L225" s="4" t="s">
        <v>26</v>
      </c>
      <c r="M225" s="5"/>
      <c r="N225" s="4" t="s">
        <v>27</v>
      </c>
      <c r="O225" s="5" t="s">
        <v>868</v>
      </c>
    </row>
    <row r="226" customFormat="false" ht="60" hidden="false" customHeight="true" outlineLevel="0" collapsed="false">
      <c r="A226" s="7" t="s">
        <v>901</v>
      </c>
      <c r="B226" s="8" t="s">
        <v>819</v>
      </c>
      <c r="C226" s="8" t="s">
        <v>864</v>
      </c>
      <c r="D226" s="8" t="s">
        <v>902</v>
      </c>
      <c r="E226" s="8" t="s">
        <v>903</v>
      </c>
      <c r="F226" s="7" t="s">
        <v>76</v>
      </c>
      <c r="G226" s="7" t="s">
        <v>823</v>
      </c>
      <c r="H226" s="9" t="s">
        <v>824</v>
      </c>
      <c r="I226" s="8" t="s">
        <v>904</v>
      </c>
      <c r="J226" s="7" t="n">
        <v>0.76</v>
      </c>
      <c r="K226" s="7"/>
      <c r="L226" s="7" t="s">
        <v>26</v>
      </c>
      <c r="M226" s="8"/>
      <c r="N226" s="7" t="s">
        <v>27</v>
      </c>
      <c r="O226" s="8" t="s">
        <v>868</v>
      </c>
    </row>
    <row r="227" customFormat="false" ht="60" hidden="false" customHeight="true" outlineLevel="0" collapsed="false">
      <c r="A227" s="4" t="s">
        <v>905</v>
      </c>
      <c r="B227" s="5" t="s">
        <v>819</v>
      </c>
      <c r="C227" s="5" t="s">
        <v>906</v>
      </c>
      <c r="D227" s="5" t="s">
        <v>907</v>
      </c>
      <c r="E227" s="5" t="s">
        <v>908</v>
      </c>
      <c r="F227" s="4" t="s">
        <v>22</v>
      </c>
      <c r="G227" s="4" t="s">
        <v>823</v>
      </c>
      <c r="H227" s="6" t="s">
        <v>824</v>
      </c>
      <c r="I227" s="5" t="s">
        <v>909</v>
      </c>
      <c r="J227" s="4" t="n">
        <v>0.81</v>
      </c>
      <c r="K227" s="4"/>
      <c r="L227" s="4" t="s">
        <v>26</v>
      </c>
      <c r="M227" s="5"/>
      <c r="N227" s="4" t="s">
        <v>27</v>
      </c>
      <c r="O227" s="5" t="s">
        <v>910</v>
      </c>
    </row>
    <row r="228" customFormat="false" ht="60" hidden="false" customHeight="true" outlineLevel="0" collapsed="false">
      <c r="A228" s="7" t="s">
        <v>911</v>
      </c>
      <c r="B228" s="8" t="s">
        <v>819</v>
      </c>
      <c r="C228" s="8" t="s">
        <v>906</v>
      </c>
      <c r="D228" s="8" t="s">
        <v>912</v>
      </c>
      <c r="E228" s="8" t="s">
        <v>913</v>
      </c>
      <c r="F228" s="7" t="s">
        <v>22</v>
      </c>
      <c r="G228" s="7" t="s">
        <v>823</v>
      </c>
      <c r="H228" s="9" t="s">
        <v>824</v>
      </c>
      <c r="I228" s="8" t="s">
        <v>914</v>
      </c>
      <c r="J228" s="7" t="n">
        <v>0.65</v>
      </c>
      <c r="K228" s="7"/>
      <c r="L228" s="7" t="s">
        <v>26</v>
      </c>
      <c r="M228" s="8"/>
      <c r="N228" s="7" t="s">
        <v>27</v>
      </c>
      <c r="O228" s="8" t="s">
        <v>910</v>
      </c>
    </row>
    <row r="229" customFormat="false" ht="60" hidden="false" customHeight="true" outlineLevel="0" collapsed="false">
      <c r="A229" s="4" t="s">
        <v>915</v>
      </c>
      <c r="B229" s="5" t="s">
        <v>819</v>
      </c>
      <c r="C229" s="5" t="s">
        <v>906</v>
      </c>
      <c r="D229" s="5" t="s">
        <v>916</v>
      </c>
      <c r="E229" s="5" t="s">
        <v>917</v>
      </c>
      <c r="F229" s="4" t="s">
        <v>36</v>
      </c>
      <c r="G229" s="4" t="s">
        <v>823</v>
      </c>
      <c r="H229" s="6" t="s">
        <v>824</v>
      </c>
      <c r="I229" s="5" t="s">
        <v>918</v>
      </c>
      <c r="J229" s="4" t="n">
        <v>0.7</v>
      </c>
      <c r="K229" s="4"/>
      <c r="L229" s="4" t="s">
        <v>26</v>
      </c>
      <c r="M229" s="5"/>
      <c r="N229" s="4" t="s">
        <v>27</v>
      </c>
      <c r="O229" s="5" t="s">
        <v>910</v>
      </c>
    </row>
    <row r="230" customFormat="false" ht="60" hidden="false" customHeight="true" outlineLevel="0" collapsed="false">
      <c r="A230" s="7" t="s">
        <v>919</v>
      </c>
      <c r="B230" s="8" t="s">
        <v>819</v>
      </c>
      <c r="C230" s="8" t="s">
        <v>906</v>
      </c>
      <c r="D230" s="8" t="s">
        <v>920</v>
      </c>
      <c r="E230" s="8" t="s">
        <v>921</v>
      </c>
      <c r="F230" s="7" t="s">
        <v>36</v>
      </c>
      <c r="G230" s="7" t="s">
        <v>823</v>
      </c>
      <c r="H230" s="9" t="s">
        <v>824</v>
      </c>
      <c r="I230" s="8" t="s">
        <v>922</v>
      </c>
      <c r="J230" s="7" t="n">
        <v>1.88</v>
      </c>
      <c r="K230" s="7"/>
      <c r="L230" s="7" t="s">
        <v>26</v>
      </c>
      <c r="M230" s="8"/>
      <c r="N230" s="7" t="s">
        <v>27</v>
      </c>
      <c r="O230" s="8" t="s">
        <v>910</v>
      </c>
    </row>
    <row r="231" customFormat="false" ht="60" hidden="false" customHeight="true" outlineLevel="0" collapsed="false">
      <c r="A231" s="4" t="s">
        <v>923</v>
      </c>
      <c r="B231" s="5" t="s">
        <v>819</v>
      </c>
      <c r="C231" s="5" t="s">
        <v>906</v>
      </c>
      <c r="D231" s="5" t="s">
        <v>924</v>
      </c>
      <c r="E231" s="5" t="s">
        <v>925</v>
      </c>
      <c r="F231" s="4" t="s">
        <v>36</v>
      </c>
      <c r="G231" s="4" t="s">
        <v>823</v>
      </c>
      <c r="H231" s="6" t="s">
        <v>824</v>
      </c>
      <c r="I231" s="5" t="s">
        <v>926</v>
      </c>
      <c r="J231" s="4" t="n">
        <v>0.81</v>
      </c>
      <c r="K231" s="4"/>
      <c r="L231" s="4" t="s">
        <v>26</v>
      </c>
      <c r="M231" s="5"/>
      <c r="N231" s="4" t="s">
        <v>27</v>
      </c>
      <c r="O231" s="5" t="s">
        <v>910</v>
      </c>
    </row>
    <row r="232" customFormat="false" ht="60" hidden="false" customHeight="true" outlineLevel="0" collapsed="false">
      <c r="A232" s="7" t="s">
        <v>927</v>
      </c>
      <c r="B232" s="8" t="s">
        <v>819</v>
      </c>
      <c r="C232" s="8" t="s">
        <v>906</v>
      </c>
      <c r="D232" s="8" t="s">
        <v>928</v>
      </c>
      <c r="E232" s="8" t="s">
        <v>929</v>
      </c>
      <c r="F232" s="7" t="s">
        <v>67</v>
      </c>
      <c r="G232" s="7" t="s">
        <v>823</v>
      </c>
      <c r="H232" s="9" t="s">
        <v>824</v>
      </c>
      <c r="I232" s="8" t="s">
        <v>930</v>
      </c>
      <c r="J232" s="7" t="n">
        <v>0.54</v>
      </c>
      <c r="K232" s="7"/>
      <c r="L232" s="7" t="s">
        <v>26</v>
      </c>
      <c r="M232" s="8"/>
      <c r="N232" s="7" t="s">
        <v>27</v>
      </c>
      <c r="O232" s="8" t="s">
        <v>910</v>
      </c>
    </row>
    <row r="233" customFormat="false" ht="60" hidden="false" customHeight="true" outlineLevel="0" collapsed="false">
      <c r="A233" s="4" t="s">
        <v>931</v>
      </c>
      <c r="B233" s="5" t="s">
        <v>819</v>
      </c>
      <c r="C233" s="5" t="s">
        <v>906</v>
      </c>
      <c r="D233" s="5" t="s">
        <v>932</v>
      </c>
      <c r="E233" s="5" t="s">
        <v>933</v>
      </c>
      <c r="F233" s="4" t="s">
        <v>53</v>
      </c>
      <c r="G233" s="4" t="s">
        <v>823</v>
      </c>
      <c r="H233" s="6" t="s">
        <v>824</v>
      </c>
      <c r="I233" s="5" t="s">
        <v>934</v>
      </c>
      <c r="J233" s="4" t="n">
        <v>0.91</v>
      </c>
      <c r="K233" s="4"/>
      <c r="L233" s="4" t="s">
        <v>26</v>
      </c>
      <c r="M233" s="5"/>
      <c r="N233" s="4" t="s">
        <v>27</v>
      </c>
      <c r="O233" s="5" t="s">
        <v>910</v>
      </c>
    </row>
    <row r="234" customFormat="false" ht="60" hidden="false" customHeight="true" outlineLevel="0" collapsed="false">
      <c r="A234" s="7" t="s">
        <v>935</v>
      </c>
      <c r="B234" s="8" t="s">
        <v>819</v>
      </c>
      <c r="C234" s="8" t="s">
        <v>906</v>
      </c>
      <c r="D234" s="8" t="s">
        <v>936</v>
      </c>
      <c r="E234" s="8" t="s">
        <v>937</v>
      </c>
      <c r="F234" s="7" t="s">
        <v>58</v>
      </c>
      <c r="G234" s="7" t="s">
        <v>823</v>
      </c>
      <c r="H234" s="9" t="s">
        <v>824</v>
      </c>
      <c r="I234" s="8" t="s">
        <v>938</v>
      </c>
      <c r="J234" s="7" t="n">
        <v>0.71</v>
      </c>
      <c r="K234" s="7"/>
      <c r="L234" s="7" t="s">
        <v>26</v>
      </c>
      <c r="M234" s="8"/>
      <c r="N234" s="7" t="s">
        <v>27</v>
      </c>
      <c r="O234" s="8" t="s">
        <v>910</v>
      </c>
    </row>
    <row r="235" customFormat="false" ht="60" hidden="false" customHeight="true" outlineLevel="0" collapsed="false">
      <c r="A235" s="4" t="s">
        <v>939</v>
      </c>
      <c r="B235" s="5" t="s">
        <v>819</v>
      </c>
      <c r="C235" s="5" t="s">
        <v>906</v>
      </c>
      <c r="D235" s="5" t="s">
        <v>940</v>
      </c>
      <c r="E235" s="5" t="s">
        <v>941</v>
      </c>
      <c r="F235" s="4" t="s">
        <v>67</v>
      </c>
      <c r="G235" s="4" t="s">
        <v>823</v>
      </c>
      <c r="H235" s="6" t="s">
        <v>824</v>
      </c>
      <c r="I235" s="5" t="s">
        <v>942</v>
      </c>
      <c r="J235" s="4" t="n">
        <v>0.41</v>
      </c>
      <c r="K235" s="4"/>
      <c r="L235" s="4" t="s">
        <v>26</v>
      </c>
      <c r="M235" s="5"/>
      <c r="N235" s="4" t="s">
        <v>27</v>
      </c>
      <c r="O235" s="5" t="s">
        <v>910</v>
      </c>
    </row>
    <row r="236" customFormat="false" ht="60" hidden="false" customHeight="true" outlineLevel="0" collapsed="false">
      <c r="A236" s="7" t="s">
        <v>943</v>
      </c>
      <c r="B236" s="8" t="s">
        <v>819</v>
      </c>
      <c r="C236" s="8" t="s">
        <v>906</v>
      </c>
      <c r="D236" s="8" t="s">
        <v>944</v>
      </c>
      <c r="E236" s="8" t="s">
        <v>945</v>
      </c>
      <c r="F236" s="7" t="s">
        <v>76</v>
      </c>
      <c r="G236" s="7" t="s">
        <v>823</v>
      </c>
      <c r="H236" s="9" t="s">
        <v>824</v>
      </c>
      <c r="I236" s="8" t="s">
        <v>946</v>
      </c>
      <c r="J236" s="7" t="n">
        <v>0.71</v>
      </c>
      <c r="K236" s="7"/>
      <c r="L236" s="7" t="s">
        <v>26</v>
      </c>
      <c r="M236" s="8"/>
      <c r="N236" s="7" t="s">
        <v>27</v>
      </c>
      <c r="O236" s="8" t="s">
        <v>910</v>
      </c>
    </row>
    <row r="237" customFormat="false" ht="60" hidden="false" customHeight="true" outlineLevel="0" collapsed="false">
      <c r="A237" s="4" t="s">
        <v>947</v>
      </c>
      <c r="B237" s="5" t="s">
        <v>819</v>
      </c>
      <c r="C237" s="5" t="s">
        <v>948</v>
      </c>
      <c r="D237" s="5" t="s">
        <v>907</v>
      </c>
      <c r="E237" s="5" t="s">
        <v>908</v>
      </c>
      <c r="F237" s="4" t="s">
        <v>22</v>
      </c>
      <c r="G237" s="4" t="s">
        <v>823</v>
      </c>
      <c r="H237" s="6" t="s">
        <v>824</v>
      </c>
      <c r="I237" s="5" t="s">
        <v>949</v>
      </c>
      <c r="J237" s="4" t="n">
        <v>0.5</v>
      </c>
      <c r="K237" s="4"/>
      <c r="L237" s="4" t="s">
        <v>26</v>
      </c>
      <c r="M237" s="5"/>
      <c r="N237" s="4" t="s">
        <v>27</v>
      </c>
      <c r="O237" s="5" t="s">
        <v>950</v>
      </c>
    </row>
    <row r="238" customFormat="false" ht="60" hidden="false" customHeight="true" outlineLevel="0" collapsed="false">
      <c r="A238" s="7" t="s">
        <v>951</v>
      </c>
      <c r="B238" s="8" t="s">
        <v>819</v>
      </c>
      <c r="C238" s="8" t="s">
        <v>948</v>
      </c>
      <c r="D238" s="8" t="s">
        <v>912</v>
      </c>
      <c r="E238" s="8" t="s">
        <v>913</v>
      </c>
      <c r="F238" s="7" t="s">
        <v>22</v>
      </c>
      <c r="G238" s="7" t="s">
        <v>823</v>
      </c>
      <c r="H238" s="9" t="s">
        <v>824</v>
      </c>
      <c r="I238" s="8" t="s">
        <v>952</v>
      </c>
      <c r="J238" s="7" t="n">
        <v>0.4</v>
      </c>
      <c r="K238" s="7"/>
      <c r="L238" s="7" t="s">
        <v>26</v>
      </c>
      <c r="M238" s="8"/>
      <c r="N238" s="7" t="s">
        <v>27</v>
      </c>
      <c r="O238" s="8" t="s">
        <v>950</v>
      </c>
    </row>
    <row r="239" customFormat="false" ht="60" hidden="false" customHeight="true" outlineLevel="0" collapsed="false">
      <c r="A239" s="4" t="s">
        <v>953</v>
      </c>
      <c r="B239" s="5" t="s">
        <v>819</v>
      </c>
      <c r="C239" s="5" t="s">
        <v>948</v>
      </c>
      <c r="D239" s="5" t="s">
        <v>916</v>
      </c>
      <c r="E239" s="5" t="s">
        <v>917</v>
      </c>
      <c r="F239" s="4" t="s">
        <v>36</v>
      </c>
      <c r="G239" s="4" t="s">
        <v>823</v>
      </c>
      <c r="H239" s="6" t="s">
        <v>824</v>
      </c>
      <c r="I239" s="5" t="s">
        <v>954</v>
      </c>
      <c r="J239" s="4" t="n">
        <v>0.44</v>
      </c>
      <c r="K239" s="4"/>
      <c r="L239" s="4" t="s">
        <v>26</v>
      </c>
      <c r="M239" s="5"/>
      <c r="N239" s="4" t="s">
        <v>27</v>
      </c>
      <c r="O239" s="5" t="s">
        <v>950</v>
      </c>
    </row>
    <row r="240" customFormat="false" ht="60" hidden="false" customHeight="true" outlineLevel="0" collapsed="false">
      <c r="A240" s="7" t="s">
        <v>955</v>
      </c>
      <c r="B240" s="8" t="s">
        <v>819</v>
      </c>
      <c r="C240" s="8" t="s">
        <v>948</v>
      </c>
      <c r="D240" s="8" t="s">
        <v>920</v>
      </c>
      <c r="E240" s="8" t="s">
        <v>921</v>
      </c>
      <c r="F240" s="7" t="s">
        <v>36</v>
      </c>
      <c r="G240" s="7" t="s">
        <v>823</v>
      </c>
      <c r="H240" s="9" t="s">
        <v>824</v>
      </c>
      <c r="I240" s="8" t="s">
        <v>956</v>
      </c>
      <c r="J240" s="7" t="n">
        <v>1.18</v>
      </c>
      <c r="K240" s="7"/>
      <c r="L240" s="7" t="s">
        <v>26</v>
      </c>
      <c r="M240" s="8"/>
      <c r="N240" s="7" t="s">
        <v>27</v>
      </c>
      <c r="O240" s="8" t="s">
        <v>950</v>
      </c>
    </row>
    <row r="241" customFormat="false" ht="60" hidden="false" customHeight="true" outlineLevel="0" collapsed="false">
      <c r="A241" s="4" t="s">
        <v>957</v>
      </c>
      <c r="B241" s="5" t="s">
        <v>819</v>
      </c>
      <c r="C241" s="5" t="s">
        <v>948</v>
      </c>
      <c r="D241" s="5" t="s">
        <v>924</v>
      </c>
      <c r="E241" s="5" t="s">
        <v>925</v>
      </c>
      <c r="F241" s="4" t="s">
        <v>36</v>
      </c>
      <c r="G241" s="4" t="s">
        <v>823</v>
      </c>
      <c r="H241" s="6" t="s">
        <v>824</v>
      </c>
      <c r="I241" s="5" t="s">
        <v>958</v>
      </c>
      <c r="J241" s="4" t="n">
        <v>0.5</v>
      </c>
      <c r="K241" s="4"/>
      <c r="L241" s="4" t="s">
        <v>26</v>
      </c>
      <c r="M241" s="5"/>
      <c r="N241" s="4" t="s">
        <v>27</v>
      </c>
      <c r="O241" s="5" t="s">
        <v>950</v>
      </c>
    </row>
    <row r="242" customFormat="false" ht="60" hidden="false" customHeight="true" outlineLevel="0" collapsed="false">
      <c r="A242" s="7" t="s">
        <v>959</v>
      </c>
      <c r="B242" s="8" t="s">
        <v>819</v>
      </c>
      <c r="C242" s="8" t="s">
        <v>948</v>
      </c>
      <c r="D242" s="8" t="s">
        <v>928</v>
      </c>
      <c r="E242" s="8" t="s">
        <v>929</v>
      </c>
      <c r="F242" s="7" t="s">
        <v>67</v>
      </c>
      <c r="G242" s="7" t="s">
        <v>823</v>
      </c>
      <c r="H242" s="9" t="s">
        <v>824</v>
      </c>
      <c r="I242" s="8" t="s">
        <v>960</v>
      </c>
      <c r="J242" s="7" t="n">
        <v>0.34</v>
      </c>
      <c r="K242" s="7"/>
      <c r="L242" s="7" t="s">
        <v>26</v>
      </c>
      <c r="M242" s="8"/>
      <c r="N242" s="7" t="s">
        <v>27</v>
      </c>
      <c r="O242" s="8" t="s">
        <v>950</v>
      </c>
    </row>
    <row r="243" customFormat="false" ht="60" hidden="false" customHeight="true" outlineLevel="0" collapsed="false">
      <c r="A243" s="4" t="s">
        <v>961</v>
      </c>
      <c r="B243" s="5" t="s">
        <v>819</v>
      </c>
      <c r="C243" s="5" t="s">
        <v>948</v>
      </c>
      <c r="D243" s="5" t="s">
        <v>932</v>
      </c>
      <c r="E243" s="5" t="s">
        <v>933</v>
      </c>
      <c r="F243" s="4" t="s">
        <v>53</v>
      </c>
      <c r="G243" s="4" t="s">
        <v>823</v>
      </c>
      <c r="H243" s="6" t="s">
        <v>824</v>
      </c>
      <c r="I243" s="5" t="s">
        <v>962</v>
      </c>
      <c r="J243" s="4" t="n">
        <v>1.86</v>
      </c>
      <c r="K243" s="4"/>
      <c r="L243" s="4" t="s">
        <v>26</v>
      </c>
      <c r="M243" s="5"/>
      <c r="N243" s="4" t="s">
        <v>27</v>
      </c>
      <c r="O243" s="5" t="s">
        <v>950</v>
      </c>
    </row>
    <row r="244" customFormat="false" ht="60" hidden="false" customHeight="true" outlineLevel="0" collapsed="false">
      <c r="A244" s="7" t="s">
        <v>963</v>
      </c>
      <c r="B244" s="8" t="s">
        <v>819</v>
      </c>
      <c r="C244" s="8" t="s">
        <v>948</v>
      </c>
      <c r="D244" s="8" t="s">
        <v>936</v>
      </c>
      <c r="E244" s="8" t="s">
        <v>937</v>
      </c>
      <c r="F244" s="7" t="s">
        <v>58</v>
      </c>
      <c r="G244" s="7" t="s">
        <v>823</v>
      </c>
      <c r="H244" s="9" t="s">
        <v>824</v>
      </c>
      <c r="I244" s="8" t="s">
        <v>964</v>
      </c>
      <c r="J244" s="7" t="n">
        <v>1.45</v>
      </c>
      <c r="K244" s="7"/>
      <c r="L244" s="7" t="s">
        <v>26</v>
      </c>
      <c r="M244" s="8"/>
      <c r="N244" s="7" t="s">
        <v>27</v>
      </c>
      <c r="O244" s="8" t="s">
        <v>950</v>
      </c>
    </row>
    <row r="245" customFormat="false" ht="60" hidden="false" customHeight="true" outlineLevel="0" collapsed="false">
      <c r="A245" s="4" t="s">
        <v>965</v>
      </c>
      <c r="B245" s="5" t="s">
        <v>819</v>
      </c>
      <c r="C245" s="5" t="s">
        <v>948</v>
      </c>
      <c r="D245" s="5" t="s">
        <v>940</v>
      </c>
      <c r="E245" s="5" t="s">
        <v>941</v>
      </c>
      <c r="F245" s="4" t="s">
        <v>67</v>
      </c>
      <c r="G245" s="4" t="s">
        <v>823</v>
      </c>
      <c r="H245" s="6" t="s">
        <v>824</v>
      </c>
      <c r="I245" s="5" t="s">
        <v>966</v>
      </c>
      <c r="J245" s="4" t="n">
        <v>0.83</v>
      </c>
      <c r="K245" s="4"/>
      <c r="L245" s="4" t="s">
        <v>26</v>
      </c>
      <c r="M245" s="5"/>
      <c r="N245" s="4" t="s">
        <v>27</v>
      </c>
      <c r="O245" s="5" t="s">
        <v>950</v>
      </c>
    </row>
    <row r="246" customFormat="false" ht="60" hidden="false" customHeight="true" outlineLevel="0" collapsed="false">
      <c r="A246" s="7" t="s">
        <v>967</v>
      </c>
      <c r="B246" s="8" t="s">
        <v>819</v>
      </c>
      <c r="C246" s="8" t="s">
        <v>948</v>
      </c>
      <c r="D246" s="8" t="s">
        <v>944</v>
      </c>
      <c r="E246" s="8" t="s">
        <v>945</v>
      </c>
      <c r="F246" s="7" t="s">
        <v>76</v>
      </c>
      <c r="G246" s="7" t="s">
        <v>823</v>
      </c>
      <c r="H246" s="9" t="s">
        <v>824</v>
      </c>
      <c r="I246" s="8" t="s">
        <v>968</v>
      </c>
      <c r="J246" s="7" t="n">
        <v>0.55</v>
      </c>
      <c r="K246" s="7"/>
      <c r="L246" s="7" t="s">
        <v>26</v>
      </c>
      <c r="M246" s="8"/>
      <c r="N246" s="7" t="s">
        <v>27</v>
      </c>
      <c r="O246" s="8" t="s">
        <v>950</v>
      </c>
    </row>
    <row r="247" customFormat="false" ht="60" hidden="false" customHeight="true" outlineLevel="0" collapsed="false">
      <c r="A247" s="4" t="s">
        <v>969</v>
      </c>
      <c r="B247" s="5" t="s">
        <v>819</v>
      </c>
      <c r="C247" s="5" t="s">
        <v>970</v>
      </c>
      <c r="D247" s="5" t="s">
        <v>865</v>
      </c>
      <c r="E247" s="5" t="s">
        <v>866</v>
      </c>
      <c r="F247" s="4" t="s">
        <v>22</v>
      </c>
      <c r="G247" s="4" t="s">
        <v>823</v>
      </c>
      <c r="H247" s="6" t="s">
        <v>824</v>
      </c>
      <c r="I247" s="5" t="s">
        <v>971</v>
      </c>
      <c r="J247" s="4" t="n">
        <v>0.69</v>
      </c>
      <c r="K247" s="4"/>
      <c r="L247" s="4" t="s">
        <v>253</v>
      </c>
      <c r="M247" s="5"/>
      <c r="N247" s="4" t="s">
        <v>27</v>
      </c>
      <c r="O247" s="5" t="s">
        <v>972</v>
      </c>
    </row>
    <row r="248" customFormat="false" ht="60" hidden="false" customHeight="true" outlineLevel="0" collapsed="false">
      <c r="A248" s="7" t="s">
        <v>973</v>
      </c>
      <c r="B248" s="8" t="s">
        <v>819</v>
      </c>
      <c r="C248" s="8" t="s">
        <v>970</v>
      </c>
      <c r="D248" s="8" t="s">
        <v>870</v>
      </c>
      <c r="E248" s="8" t="s">
        <v>871</v>
      </c>
      <c r="F248" s="7" t="s">
        <v>22</v>
      </c>
      <c r="G248" s="7" t="s">
        <v>823</v>
      </c>
      <c r="H248" s="9" t="s">
        <v>824</v>
      </c>
      <c r="I248" s="8" t="s">
        <v>974</v>
      </c>
      <c r="J248" s="7" t="n">
        <v>0.55</v>
      </c>
      <c r="K248" s="7"/>
      <c r="L248" s="7" t="s">
        <v>253</v>
      </c>
      <c r="M248" s="8"/>
      <c r="N248" s="7" t="s">
        <v>27</v>
      </c>
      <c r="O248" s="8" t="s">
        <v>972</v>
      </c>
    </row>
    <row r="249" customFormat="false" ht="60" hidden="false" customHeight="true" outlineLevel="0" collapsed="false">
      <c r="A249" s="4" t="s">
        <v>975</v>
      </c>
      <c r="B249" s="5" t="s">
        <v>819</v>
      </c>
      <c r="C249" s="5" t="s">
        <v>970</v>
      </c>
      <c r="D249" s="5" t="s">
        <v>874</v>
      </c>
      <c r="E249" s="5" t="s">
        <v>875</v>
      </c>
      <c r="F249" s="4" t="s">
        <v>36</v>
      </c>
      <c r="G249" s="4" t="s">
        <v>823</v>
      </c>
      <c r="H249" s="6" t="s">
        <v>824</v>
      </c>
      <c r="I249" s="5" t="s">
        <v>976</v>
      </c>
      <c r="J249" s="4" t="n">
        <v>0.6</v>
      </c>
      <c r="K249" s="4"/>
      <c r="L249" s="4" t="s">
        <v>253</v>
      </c>
      <c r="M249" s="5"/>
      <c r="N249" s="4" t="s">
        <v>27</v>
      </c>
      <c r="O249" s="5" t="s">
        <v>972</v>
      </c>
    </row>
    <row r="250" customFormat="false" ht="60" hidden="false" customHeight="true" outlineLevel="0" collapsed="false">
      <c r="A250" s="7" t="s">
        <v>977</v>
      </c>
      <c r="B250" s="8" t="s">
        <v>819</v>
      </c>
      <c r="C250" s="8" t="s">
        <v>970</v>
      </c>
      <c r="D250" s="8" t="s">
        <v>878</v>
      </c>
      <c r="E250" s="8" t="s">
        <v>879</v>
      </c>
      <c r="F250" s="7" t="s">
        <v>36</v>
      </c>
      <c r="G250" s="7" t="s">
        <v>823</v>
      </c>
      <c r="H250" s="9" t="s">
        <v>824</v>
      </c>
      <c r="I250" s="8" t="s">
        <v>978</v>
      </c>
      <c r="J250" s="7" t="n">
        <v>1.6</v>
      </c>
      <c r="K250" s="7"/>
      <c r="L250" s="7" t="s">
        <v>253</v>
      </c>
      <c r="M250" s="8"/>
      <c r="N250" s="7" t="s">
        <v>27</v>
      </c>
      <c r="O250" s="8" t="s">
        <v>972</v>
      </c>
    </row>
    <row r="251" customFormat="false" ht="60" hidden="false" customHeight="true" outlineLevel="0" collapsed="false">
      <c r="A251" s="4" t="s">
        <v>979</v>
      </c>
      <c r="B251" s="5" t="s">
        <v>819</v>
      </c>
      <c r="C251" s="5" t="s">
        <v>970</v>
      </c>
      <c r="D251" s="5" t="s">
        <v>882</v>
      </c>
      <c r="E251" s="5" t="s">
        <v>883</v>
      </c>
      <c r="F251" s="4" t="s">
        <v>36</v>
      </c>
      <c r="G251" s="4" t="s">
        <v>823</v>
      </c>
      <c r="H251" s="6" t="s">
        <v>824</v>
      </c>
      <c r="I251" s="5" t="s">
        <v>980</v>
      </c>
      <c r="J251" s="4" t="n">
        <v>0.69</v>
      </c>
      <c r="K251" s="4"/>
      <c r="L251" s="4" t="s">
        <v>253</v>
      </c>
      <c r="M251" s="5"/>
      <c r="N251" s="4" t="s">
        <v>27</v>
      </c>
      <c r="O251" s="5" t="s">
        <v>972</v>
      </c>
    </row>
    <row r="252" customFormat="false" ht="60" hidden="false" customHeight="true" outlineLevel="0" collapsed="false">
      <c r="A252" s="7" t="s">
        <v>981</v>
      </c>
      <c r="B252" s="8" t="s">
        <v>819</v>
      </c>
      <c r="C252" s="8" t="s">
        <v>970</v>
      </c>
      <c r="D252" s="8" t="s">
        <v>886</v>
      </c>
      <c r="E252" s="8" t="s">
        <v>887</v>
      </c>
      <c r="F252" s="7" t="s">
        <v>67</v>
      </c>
      <c r="G252" s="7" t="s">
        <v>823</v>
      </c>
      <c r="H252" s="9" t="s">
        <v>824</v>
      </c>
      <c r="I252" s="8" t="s">
        <v>982</v>
      </c>
      <c r="J252" s="7" t="n">
        <v>0.46</v>
      </c>
      <c r="K252" s="7"/>
      <c r="L252" s="7" t="s">
        <v>253</v>
      </c>
      <c r="M252" s="8"/>
      <c r="N252" s="7" t="s">
        <v>27</v>
      </c>
      <c r="O252" s="8" t="s">
        <v>972</v>
      </c>
    </row>
    <row r="253" customFormat="false" ht="60" hidden="false" customHeight="true" outlineLevel="0" collapsed="false">
      <c r="A253" s="4" t="s">
        <v>983</v>
      </c>
      <c r="B253" s="5" t="s">
        <v>819</v>
      </c>
      <c r="C253" s="5" t="s">
        <v>970</v>
      </c>
      <c r="D253" s="5" t="s">
        <v>890</v>
      </c>
      <c r="E253" s="5" t="s">
        <v>891</v>
      </c>
      <c r="F253" s="4" t="s">
        <v>53</v>
      </c>
      <c r="G253" s="4" t="s">
        <v>823</v>
      </c>
      <c r="H253" s="6" t="s">
        <v>824</v>
      </c>
      <c r="I253" s="5" t="s">
        <v>984</v>
      </c>
      <c r="J253" s="4" t="n">
        <v>0.23</v>
      </c>
      <c r="K253" s="4"/>
      <c r="L253" s="4" t="s">
        <v>253</v>
      </c>
      <c r="M253" s="5"/>
      <c r="N253" s="4" t="s">
        <v>27</v>
      </c>
      <c r="O253" s="5" t="s">
        <v>972</v>
      </c>
    </row>
    <row r="254" customFormat="false" ht="60" hidden="false" customHeight="true" outlineLevel="0" collapsed="false">
      <c r="A254" s="7" t="s">
        <v>985</v>
      </c>
      <c r="B254" s="8" t="s">
        <v>819</v>
      </c>
      <c r="C254" s="8" t="s">
        <v>970</v>
      </c>
      <c r="D254" s="8" t="s">
        <v>894</v>
      </c>
      <c r="E254" s="8" t="s">
        <v>895</v>
      </c>
      <c r="F254" s="7" t="s">
        <v>58</v>
      </c>
      <c r="G254" s="7" t="s">
        <v>823</v>
      </c>
      <c r="H254" s="9" t="s">
        <v>824</v>
      </c>
      <c r="I254" s="8" t="s">
        <v>986</v>
      </c>
      <c r="J254" s="7" t="n">
        <v>0.18</v>
      </c>
      <c r="K254" s="7"/>
      <c r="L254" s="7" t="s">
        <v>253</v>
      </c>
      <c r="M254" s="8"/>
      <c r="N254" s="7" t="s">
        <v>27</v>
      </c>
      <c r="O254" s="8" t="s">
        <v>972</v>
      </c>
    </row>
    <row r="255" customFormat="false" ht="60" hidden="false" customHeight="true" outlineLevel="0" collapsed="false">
      <c r="A255" s="4" t="s">
        <v>987</v>
      </c>
      <c r="B255" s="5" t="s">
        <v>819</v>
      </c>
      <c r="C255" s="5" t="s">
        <v>970</v>
      </c>
      <c r="D255" s="5" t="s">
        <v>898</v>
      </c>
      <c r="E255" s="5" t="s">
        <v>899</v>
      </c>
      <c r="F255" s="4" t="s">
        <v>67</v>
      </c>
      <c r="G255" s="4" t="s">
        <v>823</v>
      </c>
      <c r="H255" s="6" t="s">
        <v>824</v>
      </c>
      <c r="I255" s="5" t="s">
        <v>988</v>
      </c>
      <c r="J255" s="4" t="n">
        <v>0.1</v>
      </c>
      <c r="K255" s="4"/>
      <c r="L255" s="4" t="s">
        <v>253</v>
      </c>
      <c r="M255" s="5"/>
      <c r="N255" s="4" t="s">
        <v>27</v>
      </c>
      <c r="O255" s="5" t="s">
        <v>972</v>
      </c>
    </row>
    <row r="256" customFormat="false" ht="60" hidden="false" customHeight="true" outlineLevel="0" collapsed="false">
      <c r="A256" s="7" t="s">
        <v>989</v>
      </c>
      <c r="B256" s="8" t="s">
        <v>819</v>
      </c>
      <c r="C256" s="8" t="s">
        <v>970</v>
      </c>
      <c r="D256" s="8" t="s">
        <v>902</v>
      </c>
      <c r="E256" s="8" t="s">
        <v>903</v>
      </c>
      <c r="F256" s="7" t="s">
        <v>76</v>
      </c>
      <c r="G256" s="7" t="s">
        <v>823</v>
      </c>
      <c r="H256" s="9" t="s">
        <v>824</v>
      </c>
      <c r="I256" s="8" t="s">
        <v>990</v>
      </c>
      <c r="J256" s="7" t="n">
        <v>0.3</v>
      </c>
      <c r="K256" s="7"/>
      <c r="L256" s="7" t="s">
        <v>253</v>
      </c>
      <c r="M256" s="8"/>
      <c r="N256" s="7" t="s">
        <v>27</v>
      </c>
      <c r="O256" s="8" t="s">
        <v>972</v>
      </c>
    </row>
    <row r="257" customFormat="false" ht="60" hidden="false" customHeight="true" outlineLevel="0" collapsed="false">
      <c r="A257" s="4" t="s">
        <v>991</v>
      </c>
      <c r="B257" s="5" t="s">
        <v>992</v>
      </c>
      <c r="C257" s="5" t="s">
        <v>993</v>
      </c>
      <c r="D257" s="5" t="s">
        <v>994</v>
      </c>
      <c r="E257" s="5" t="s">
        <v>995</v>
      </c>
      <c r="F257" s="4" t="s">
        <v>22</v>
      </c>
      <c r="G257" s="4" t="s">
        <v>996</v>
      </c>
      <c r="H257" s="6" t="s">
        <v>997</v>
      </c>
      <c r="I257" s="5" t="s">
        <v>825</v>
      </c>
      <c r="J257" s="4" t="n">
        <v>1.34</v>
      </c>
      <c r="K257" s="4"/>
      <c r="L257" s="4" t="s">
        <v>26</v>
      </c>
      <c r="M257" s="5"/>
      <c r="N257" s="4" t="s">
        <v>27</v>
      </c>
      <c r="O257" s="5" t="s">
        <v>998</v>
      </c>
    </row>
    <row r="258" customFormat="false" ht="60" hidden="false" customHeight="true" outlineLevel="0" collapsed="false">
      <c r="A258" s="7" t="s">
        <v>999</v>
      </c>
      <c r="B258" s="8" t="s">
        <v>992</v>
      </c>
      <c r="C258" s="8" t="s">
        <v>993</v>
      </c>
      <c r="D258" s="8" t="s">
        <v>1000</v>
      </c>
      <c r="E258" s="8" t="s">
        <v>1001</v>
      </c>
      <c r="F258" s="7" t="s">
        <v>22</v>
      </c>
      <c r="G258" s="7" t="s">
        <v>996</v>
      </c>
      <c r="H258" s="9" t="s">
        <v>997</v>
      </c>
      <c r="I258" s="8" t="s">
        <v>1002</v>
      </c>
      <c r="J258" s="7" t="n">
        <v>1.08</v>
      </c>
      <c r="K258" s="7"/>
      <c r="L258" s="7" t="s">
        <v>26</v>
      </c>
      <c r="M258" s="8"/>
      <c r="N258" s="7" t="s">
        <v>27</v>
      </c>
      <c r="O258" s="8" t="s">
        <v>998</v>
      </c>
    </row>
    <row r="259" customFormat="false" ht="60" hidden="false" customHeight="true" outlineLevel="0" collapsed="false">
      <c r="A259" s="4" t="s">
        <v>1003</v>
      </c>
      <c r="B259" s="5" t="s">
        <v>992</v>
      </c>
      <c r="C259" s="5" t="s">
        <v>993</v>
      </c>
      <c r="D259" s="5" t="s">
        <v>1004</v>
      </c>
      <c r="E259" s="5" t="s">
        <v>1005</v>
      </c>
      <c r="F259" s="4" t="s">
        <v>36</v>
      </c>
      <c r="G259" s="4" t="s">
        <v>996</v>
      </c>
      <c r="H259" s="6" t="s">
        <v>997</v>
      </c>
      <c r="I259" s="5" t="s">
        <v>1006</v>
      </c>
      <c r="J259" s="4" t="n">
        <v>1.17</v>
      </c>
      <c r="K259" s="4"/>
      <c r="L259" s="4" t="s">
        <v>26</v>
      </c>
      <c r="M259" s="5"/>
      <c r="N259" s="4" t="s">
        <v>27</v>
      </c>
      <c r="O259" s="5" t="s">
        <v>998</v>
      </c>
    </row>
    <row r="260" customFormat="false" ht="60" hidden="false" customHeight="true" outlineLevel="0" collapsed="false">
      <c r="A260" s="7" t="s">
        <v>1007</v>
      </c>
      <c r="B260" s="8" t="s">
        <v>992</v>
      </c>
      <c r="C260" s="8" t="s">
        <v>993</v>
      </c>
      <c r="D260" s="8" t="s">
        <v>1008</v>
      </c>
      <c r="E260" s="8" t="s">
        <v>1009</v>
      </c>
      <c r="F260" s="7" t="s">
        <v>36</v>
      </c>
      <c r="G260" s="7" t="s">
        <v>996</v>
      </c>
      <c r="H260" s="9" t="s">
        <v>997</v>
      </c>
      <c r="I260" s="8" t="s">
        <v>1010</v>
      </c>
      <c r="J260" s="7" t="n">
        <v>3.14</v>
      </c>
      <c r="K260" s="7"/>
      <c r="L260" s="7" t="s">
        <v>26</v>
      </c>
      <c r="M260" s="8"/>
      <c r="N260" s="7" t="s">
        <v>27</v>
      </c>
      <c r="O260" s="8" t="s">
        <v>998</v>
      </c>
    </row>
    <row r="261" customFormat="false" ht="60" hidden="false" customHeight="true" outlineLevel="0" collapsed="false">
      <c r="A261" s="4" t="s">
        <v>1011</v>
      </c>
      <c r="B261" s="5" t="s">
        <v>992</v>
      </c>
      <c r="C261" s="5" t="s">
        <v>993</v>
      </c>
      <c r="D261" s="5" t="s">
        <v>1012</v>
      </c>
      <c r="E261" s="5" t="s">
        <v>1013</v>
      </c>
      <c r="F261" s="4" t="s">
        <v>36</v>
      </c>
      <c r="G261" s="4" t="s">
        <v>996</v>
      </c>
      <c r="H261" s="6" t="s">
        <v>997</v>
      </c>
      <c r="I261" s="5" t="s">
        <v>1014</v>
      </c>
      <c r="J261" s="4" t="n">
        <v>1.34</v>
      </c>
      <c r="K261" s="4"/>
      <c r="L261" s="4" t="s">
        <v>26</v>
      </c>
      <c r="M261" s="5"/>
      <c r="N261" s="4" t="s">
        <v>27</v>
      </c>
      <c r="O261" s="5" t="s">
        <v>998</v>
      </c>
    </row>
    <row r="262" customFormat="false" ht="60" hidden="false" customHeight="true" outlineLevel="0" collapsed="false">
      <c r="A262" s="7" t="s">
        <v>1015</v>
      </c>
      <c r="B262" s="8" t="s">
        <v>992</v>
      </c>
      <c r="C262" s="8" t="s">
        <v>993</v>
      </c>
      <c r="D262" s="8" t="s">
        <v>1016</v>
      </c>
      <c r="E262" s="8" t="s">
        <v>1017</v>
      </c>
      <c r="F262" s="7" t="s">
        <v>67</v>
      </c>
      <c r="G262" s="7" t="s">
        <v>996</v>
      </c>
      <c r="H262" s="9" t="s">
        <v>997</v>
      </c>
      <c r="I262" s="8" t="s">
        <v>1018</v>
      </c>
      <c r="J262" s="7" t="n">
        <v>0.9</v>
      </c>
      <c r="K262" s="7"/>
      <c r="L262" s="7" t="s">
        <v>26</v>
      </c>
      <c r="M262" s="8"/>
      <c r="N262" s="7" t="s">
        <v>27</v>
      </c>
      <c r="O262" s="8" t="s">
        <v>998</v>
      </c>
    </row>
    <row r="263" customFormat="false" ht="60" hidden="false" customHeight="true" outlineLevel="0" collapsed="false">
      <c r="A263" s="4" t="s">
        <v>1019</v>
      </c>
      <c r="B263" s="5" t="s">
        <v>992</v>
      </c>
      <c r="C263" s="5" t="s">
        <v>993</v>
      </c>
      <c r="D263" s="5" t="s">
        <v>1020</v>
      </c>
      <c r="E263" s="5" t="s">
        <v>1021</v>
      </c>
      <c r="F263" s="4" t="s">
        <v>53</v>
      </c>
      <c r="G263" s="4" t="s">
        <v>996</v>
      </c>
      <c r="H263" s="6" t="s">
        <v>997</v>
      </c>
      <c r="I263" s="5" t="s">
        <v>1022</v>
      </c>
      <c r="J263" s="4" t="n">
        <v>1.52</v>
      </c>
      <c r="K263" s="4"/>
      <c r="L263" s="4" t="s">
        <v>26</v>
      </c>
      <c r="M263" s="5"/>
      <c r="N263" s="4" t="s">
        <v>27</v>
      </c>
      <c r="O263" s="5" t="s">
        <v>998</v>
      </c>
    </row>
    <row r="264" customFormat="false" ht="60" hidden="false" customHeight="true" outlineLevel="0" collapsed="false">
      <c r="A264" s="7" t="s">
        <v>1023</v>
      </c>
      <c r="B264" s="8" t="s">
        <v>992</v>
      </c>
      <c r="C264" s="8" t="s">
        <v>993</v>
      </c>
      <c r="D264" s="8" t="s">
        <v>1024</v>
      </c>
      <c r="E264" s="8" t="s">
        <v>1025</v>
      </c>
      <c r="F264" s="7" t="s">
        <v>58</v>
      </c>
      <c r="G264" s="7" t="s">
        <v>996</v>
      </c>
      <c r="H264" s="9" t="s">
        <v>997</v>
      </c>
      <c r="I264" s="8" t="s">
        <v>1026</v>
      </c>
      <c r="J264" s="7" t="n">
        <v>1.18</v>
      </c>
      <c r="K264" s="7"/>
      <c r="L264" s="7" t="s">
        <v>26</v>
      </c>
      <c r="M264" s="8"/>
      <c r="N264" s="7" t="s">
        <v>27</v>
      </c>
      <c r="O264" s="8" t="s">
        <v>998</v>
      </c>
    </row>
    <row r="265" customFormat="false" ht="60" hidden="false" customHeight="true" outlineLevel="0" collapsed="false">
      <c r="A265" s="4" t="s">
        <v>1027</v>
      </c>
      <c r="B265" s="5" t="s">
        <v>992</v>
      </c>
      <c r="C265" s="5" t="s">
        <v>993</v>
      </c>
      <c r="D265" s="5" t="s">
        <v>1028</v>
      </c>
      <c r="E265" s="5" t="s">
        <v>1029</v>
      </c>
      <c r="F265" s="4" t="s">
        <v>67</v>
      </c>
      <c r="G265" s="4" t="s">
        <v>996</v>
      </c>
      <c r="H265" s="6" t="s">
        <v>997</v>
      </c>
      <c r="I265" s="5" t="s">
        <v>1030</v>
      </c>
      <c r="J265" s="4" t="n">
        <v>0.68</v>
      </c>
      <c r="K265" s="4"/>
      <c r="L265" s="4" t="s">
        <v>26</v>
      </c>
      <c r="M265" s="5"/>
      <c r="N265" s="4" t="s">
        <v>27</v>
      </c>
      <c r="O265" s="5" t="s">
        <v>998</v>
      </c>
    </row>
    <row r="266" customFormat="false" ht="60" hidden="false" customHeight="true" outlineLevel="0" collapsed="false">
      <c r="A266" s="7" t="s">
        <v>1031</v>
      </c>
      <c r="B266" s="8" t="s">
        <v>992</v>
      </c>
      <c r="C266" s="8" t="s">
        <v>993</v>
      </c>
      <c r="D266" s="8" t="s">
        <v>1032</v>
      </c>
      <c r="E266" s="8" t="s">
        <v>1033</v>
      </c>
      <c r="F266" s="7" t="s">
        <v>76</v>
      </c>
      <c r="G266" s="7" t="s">
        <v>996</v>
      </c>
      <c r="H266" s="9" t="s">
        <v>997</v>
      </c>
      <c r="I266" s="8" t="s">
        <v>1034</v>
      </c>
      <c r="J266" s="7" t="n">
        <v>1.19</v>
      </c>
      <c r="K266" s="7"/>
      <c r="L266" s="7" t="s">
        <v>26</v>
      </c>
      <c r="M266" s="8"/>
      <c r="N266" s="7" t="s">
        <v>27</v>
      </c>
      <c r="O266" s="8" t="s">
        <v>998</v>
      </c>
    </row>
    <row r="267" customFormat="false" ht="60" hidden="false" customHeight="true" outlineLevel="0" collapsed="false">
      <c r="A267" s="4" t="s">
        <v>1035</v>
      </c>
      <c r="B267" s="5" t="s">
        <v>992</v>
      </c>
      <c r="C267" s="5" t="s">
        <v>1036</v>
      </c>
      <c r="D267" s="5" t="s">
        <v>994</v>
      </c>
      <c r="E267" s="5" t="s">
        <v>1037</v>
      </c>
      <c r="F267" s="4" t="s">
        <v>22</v>
      </c>
      <c r="G267" s="4" t="s">
        <v>996</v>
      </c>
      <c r="H267" s="6" t="s">
        <v>997</v>
      </c>
      <c r="I267" s="5" t="s">
        <v>1038</v>
      </c>
      <c r="J267" s="4" t="n">
        <v>1.34</v>
      </c>
      <c r="K267" s="4"/>
      <c r="L267" s="4" t="s">
        <v>26</v>
      </c>
      <c r="M267" s="5"/>
      <c r="N267" s="4" t="s">
        <v>27</v>
      </c>
      <c r="O267" s="5" t="s">
        <v>1039</v>
      </c>
    </row>
    <row r="268" customFormat="false" ht="60" hidden="false" customHeight="true" outlineLevel="0" collapsed="false">
      <c r="A268" s="7" t="s">
        <v>1040</v>
      </c>
      <c r="B268" s="8" t="s">
        <v>992</v>
      </c>
      <c r="C268" s="8" t="s">
        <v>1036</v>
      </c>
      <c r="D268" s="8" t="s">
        <v>1000</v>
      </c>
      <c r="E268" s="8" t="s">
        <v>1041</v>
      </c>
      <c r="F268" s="7" t="s">
        <v>22</v>
      </c>
      <c r="G268" s="7" t="s">
        <v>996</v>
      </c>
      <c r="H268" s="9" t="s">
        <v>997</v>
      </c>
      <c r="I268" s="8" t="s">
        <v>1042</v>
      </c>
      <c r="J268" s="7" t="n">
        <v>1.08</v>
      </c>
      <c r="K268" s="7"/>
      <c r="L268" s="7" t="s">
        <v>26</v>
      </c>
      <c r="M268" s="8"/>
      <c r="N268" s="7" t="s">
        <v>27</v>
      </c>
      <c r="O268" s="8" t="s">
        <v>1039</v>
      </c>
    </row>
    <row r="269" customFormat="false" ht="60" hidden="false" customHeight="true" outlineLevel="0" collapsed="false">
      <c r="A269" s="4" t="s">
        <v>1043</v>
      </c>
      <c r="B269" s="5" t="s">
        <v>992</v>
      </c>
      <c r="C269" s="5" t="s">
        <v>1036</v>
      </c>
      <c r="D269" s="5" t="s">
        <v>1004</v>
      </c>
      <c r="E269" s="5" t="s">
        <v>1044</v>
      </c>
      <c r="F269" s="4" t="s">
        <v>36</v>
      </c>
      <c r="G269" s="4" t="s">
        <v>996</v>
      </c>
      <c r="H269" s="6" t="s">
        <v>997</v>
      </c>
      <c r="I269" s="5" t="s">
        <v>1045</v>
      </c>
      <c r="J269" s="4" t="n">
        <v>1.17</v>
      </c>
      <c r="K269" s="4"/>
      <c r="L269" s="4" t="s">
        <v>26</v>
      </c>
      <c r="M269" s="5"/>
      <c r="N269" s="4" t="s">
        <v>27</v>
      </c>
      <c r="O269" s="5" t="s">
        <v>1039</v>
      </c>
    </row>
    <row r="270" customFormat="false" ht="60" hidden="false" customHeight="true" outlineLevel="0" collapsed="false">
      <c r="A270" s="7" t="s">
        <v>1046</v>
      </c>
      <c r="B270" s="8" t="s">
        <v>992</v>
      </c>
      <c r="C270" s="8" t="s">
        <v>1036</v>
      </c>
      <c r="D270" s="8" t="s">
        <v>1047</v>
      </c>
      <c r="E270" s="8" t="s">
        <v>1048</v>
      </c>
      <c r="F270" s="7" t="s">
        <v>36</v>
      </c>
      <c r="G270" s="7" t="s">
        <v>996</v>
      </c>
      <c r="H270" s="9" t="s">
        <v>997</v>
      </c>
      <c r="I270" s="8" t="s">
        <v>1049</v>
      </c>
      <c r="J270" s="7" t="n">
        <v>3.14</v>
      </c>
      <c r="K270" s="7"/>
      <c r="L270" s="7" t="s">
        <v>26</v>
      </c>
      <c r="M270" s="8"/>
      <c r="N270" s="7" t="s">
        <v>27</v>
      </c>
      <c r="O270" s="8" t="s">
        <v>1039</v>
      </c>
    </row>
    <row r="271" customFormat="false" ht="60" hidden="false" customHeight="true" outlineLevel="0" collapsed="false">
      <c r="A271" s="4" t="s">
        <v>1050</v>
      </c>
      <c r="B271" s="5" t="s">
        <v>992</v>
      </c>
      <c r="C271" s="5" t="s">
        <v>1036</v>
      </c>
      <c r="D271" s="5" t="s">
        <v>1051</v>
      </c>
      <c r="E271" s="5" t="s">
        <v>1052</v>
      </c>
      <c r="F271" s="4" t="s">
        <v>36</v>
      </c>
      <c r="G271" s="4" t="s">
        <v>996</v>
      </c>
      <c r="H271" s="6" t="s">
        <v>997</v>
      </c>
      <c r="I271" s="5" t="s">
        <v>1053</v>
      </c>
      <c r="J271" s="4" t="n">
        <v>1.34</v>
      </c>
      <c r="K271" s="4"/>
      <c r="L271" s="4" t="s">
        <v>26</v>
      </c>
      <c r="M271" s="5"/>
      <c r="N271" s="4" t="s">
        <v>27</v>
      </c>
      <c r="O271" s="5" t="s">
        <v>1039</v>
      </c>
    </row>
    <row r="272" customFormat="false" ht="60" hidden="false" customHeight="true" outlineLevel="0" collapsed="false">
      <c r="A272" s="7" t="s">
        <v>1054</v>
      </c>
      <c r="B272" s="8" t="s">
        <v>992</v>
      </c>
      <c r="C272" s="8" t="s">
        <v>1036</v>
      </c>
      <c r="D272" s="8" t="s">
        <v>1055</v>
      </c>
      <c r="E272" s="8" t="s">
        <v>1056</v>
      </c>
      <c r="F272" s="7" t="s">
        <v>67</v>
      </c>
      <c r="G272" s="7" t="s">
        <v>996</v>
      </c>
      <c r="H272" s="9" t="s">
        <v>997</v>
      </c>
      <c r="I272" s="8" t="s">
        <v>1057</v>
      </c>
      <c r="J272" s="7" t="n">
        <v>0.9</v>
      </c>
      <c r="K272" s="7"/>
      <c r="L272" s="7" t="s">
        <v>26</v>
      </c>
      <c r="M272" s="8"/>
      <c r="N272" s="7" t="s">
        <v>27</v>
      </c>
      <c r="O272" s="8" t="s">
        <v>1039</v>
      </c>
    </row>
    <row r="273" customFormat="false" ht="60" hidden="false" customHeight="true" outlineLevel="0" collapsed="false">
      <c r="A273" s="4" t="s">
        <v>1058</v>
      </c>
      <c r="B273" s="5" t="s">
        <v>992</v>
      </c>
      <c r="C273" s="5" t="s">
        <v>1036</v>
      </c>
      <c r="D273" s="5" t="s">
        <v>1059</v>
      </c>
      <c r="E273" s="5" t="s">
        <v>1060</v>
      </c>
      <c r="F273" s="4" t="s">
        <v>53</v>
      </c>
      <c r="G273" s="4" t="s">
        <v>996</v>
      </c>
      <c r="H273" s="6" t="s">
        <v>997</v>
      </c>
      <c r="I273" s="5" t="s">
        <v>1061</v>
      </c>
      <c r="J273" s="4" t="n">
        <v>1.52</v>
      </c>
      <c r="K273" s="4"/>
      <c r="L273" s="4" t="s">
        <v>26</v>
      </c>
      <c r="M273" s="5"/>
      <c r="N273" s="4" t="s">
        <v>27</v>
      </c>
      <c r="O273" s="5" t="s">
        <v>1039</v>
      </c>
    </row>
    <row r="274" customFormat="false" ht="60" hidden="false" customHeight="true" outlineLevel="0" collapsed="false">
      <c r="A274" s="7" t="s">
        <v>1062</v>
      </c>
      <c r="B274" s="8" t="s">
        <v>992</v>
      </c>
      <c r="C274" s="8" t="s">
        <v>1036</v>
      </c>
      <c r="D274" s="8" t="s">
        <v>1063</v>
      </c>
      <c r="E274" s="8" t="s">
        <v>1064</v>
      </c>
      <c r="F274" s="7" t="s">
        <v>58</v>
      </c>
      <c r="G274" s="7" t="s">
        <v>996</v>
      </c>
      <c r="H274" s="9" t="s">
        <v>997</v>
      </c>
      <c r="I274" s="8" t="s">
        <v>1065</v>
      </c>
      <c r="J274" s="7" t="n">
        <v>1.18</v>
      </c>
      <c r="K274" s="7"/>
      <c r="L274" s="7" t="s">
        <v>26</v>
      </c>
      <c r="M274" s="8"/>
      <c r="N274" s="7" t="s">
        <v>27</v>
      </c>
      <c r="O274" s="8" t="s">
        <v>1039</v>
      </c>
    </row>
    <row r="275" customFormat="false" ht="60" hidden="false" customHeight="true" outlineLevel="0" collapsed="false">
      <c r="A275" s="4" t="s">
        <v>1066</v>
      </c>
      <c r="B275" s="5" t="s">
        <v>992</v>
      </c>
      <c r="C275" s="5" t="s">
        <v>1036</v>
      </c>
      <c r="D275" s="5" t="s">
        <v>1067</v>
      </c>
      <c r="E275" s="5" t="s">
        <v>1068</v>
      </c>
      <c r="F275" s="4" t="s">
        <v>67</v>
      </c>
      <c r="G275" s="4" t="s">
        <v>996</v>
      </c>
      <c r="H275" s="6" t="s">
        <v>997</v>
      </c>
      <c r="I275" s="5" t="s">
        <v>1069</v>
      </c>
      <c r="J275" s="4" t="n">
        <v>0.68</v>
      </c>
      <c r="K275" s="4"/>
      <c r="L275" s="4" t="s">
        <v>26</v>
      </c>
      <c r="M275" s="5"/>
      <c r="N275" s="4" t="s">
        <v>27</v>
      </c>
      <c r="O275" s="5" t="s">
        <v>1039</v>
      </c>
    </row>
    <row r="276" customFormat="false" ht="60" hidden="false" customHeight="true" outlineLevel="0" collapsed="false">
      <c r="A276" s="7" t="s">
        <v>1070</v>
      </c>
      <c r="B276" s="8" t="s">
        <v>992</v>
      </c>
      <c r="C276" s="8" t="s">
        <v>1036</v>
      </c>
      <c r="D276" s="8" t="s">
        <v>1071</v>
      </c>
      <c r="E276" s="8" t="s">
        <v>1072</v>
      </c>
      <c r="F276" s="7" t="s">
        <v>76</v>
      </c>
      <c r="G276" s="7" t="s">
        <v>996</v>
      </c>
      <c r="H276" s="9" t="s">
        <v>997</v>
      </c>
      <c r="I276" s="8" t="s">
        <v>1073</v>
      </c>
      <c r="J276" s="7" t="n">
        <v>1.19</v>
      </c>
      <c r="K276" s="7"/>
      <c r="L276" s="7" t="s">
        <v>26</v>
      </c>
      <c r="M276" s="8"/>
      <c r="N276" s="7" t="s">
        <v>27</v>
      </c>
      <c r="O276" s="8" t="s">
        <v>1039</v>
      </c>
    </row>
    <row r="277" customFormat="false" ht="60" hidden="false" customHeight="true" outlineLevel="0" collapsed="false">
      <c r="A277" s="4" t="s">
        <v>1074</v>
      </c>
      <c r="B277" s="5" t="s">
        <v>992</v>
      </c>
      <c r="C277" s="5" t="s">
        <v>1075</v>
      </c>
      <c r="D277" s="5" t="s">
        <v>994</v>
      </c>
      <c r="E277" s="5" t="s">
        <v>1037</v>
      </c>
      <c r="F277" s="4" t="s">
        <v>22</v>
      </c>
      <c r="G277" s="4" t="s">
        <v>996</v>
      </c>
      <c r="H277" s="6" t="s">
        <v>997</v>
      </c>
      <c r="I277" s="5" t="s">
        <v>1076</v>
      </c>
      <c r="J277" s="4" t="n">
        <v>1.03</v>
      </c>
      <c r="K277" s="4"/>
      <c r="L277" s="4" t="s">
        <v>26</v>
      </c>
      <c r="M277" s="5"/>
      <c r="N277" s="4" t="s">
        <v>27</v>
      </c>
      <c r="O277" s="5" t="s">
        <v>1077</v>
      </c>
    </row>
    <row r="278" customFormat="false" ht="60" hidden="false" customHeight="true" outlineLevel="0" collapsed="false">
      <c r="A278" s="7" t="s">
        <v>1078</v>
      </c>
      <c r="B278" s="8" t="s">
        <v>992</v>
      </c>
      <c r="C278" s="8" t="s">
        <v>1075</v>
      </c>
      <c r="D278" s="8" t="s">
        <v>1000</v>
      </c>
      <c r="E278" s="8" t="s">
        <v>1041</v>
      </c>
      <c r="F278" s="7" t="s">
        <v>22</v>
      </c>
      <c r="G278" s="7" t="s">
        <v>996</v>
      </c>
      <c r="H278" s="9" t="s">
        <v>997</v>
      </c>
      <c r="I278" s="8" t="s">
        <v>1079</v>
      </c>
      <c r="J278" s="7" t="n">
        <v>0.83</v>
      </c>
      <c r="K278" s="7"/>
      <c r="L278" s="7" t="s">
        <v>26</v>
      </c>
      <c r="M278" s="8"/>
      <c r="N278" s="7" t="s">
        <v>27</v>
      </c>
      <c r="O278" s="8" t="s">
        <v>1077</v>
      </c>
    </row>
    <row r="279" customFormat="false" ht="60" hidden="false" customHeight="true" outlineLevel="0" collapsed="false">
      <c r="A279" s="4" t="s">
        <v>1080</v>
      </c>
      <c r="B279" s="5" t="s">
        <v>992</v>
      </c>
      <c r="C279" s="5" t="s">
        <v>1075</v>
      </c>
      <c r="D279" s="5" t="s">
        <v>1004</v>
      </c>
      <c r="E279" s="5" t="s">
        <v>1044</v>
      </c>
      <c r="F279" s="4" t="s">
        <v>36</v>
      </c>
      <c r="G279" s="4" t="s">
        <v>996</v>
      </c>
      <c r="H279" s="6" t="s">
        <v>997</v>
      </c>
      <c r="I279" s="5" t="s">
        <v>1081</v>
      </c>
      <c r="J279" s="4" t="n">
        <v>0.89</v>
      </c>
      <c r="K279" s="4"/>
      <c r="L279" s="4" t="s">
        <v>26</v>
      </c>
      <c r="M279" s="5"/>
      <c r="N279" s="4" t="s">
        <v>27</v>
      </c>
      <c r="O279" s="5" t="s">
        <v>1077</v>
      </c>
    </row>
    <row r="280" customFormat="false" ht="60" hidden="false" customHeight="true" outlineLevel="0" collapsed="false">
      <c r="A280" s="7" t="s">
        <v>1082</v>
      </c>
      <c r="B280" s="8" t="s">
        <v>992</v>
      </c>
      <c r="C280" s="8" t="s">
        <v>1075</v>
      </c>
      <c r="D280" s="8" t="s">
        <v>1047</v>
      </c>
      <c r="E280" s="8" t="s">
        <v>1048</v>
      </c>
      <c r="F280" s="7" t="s">
        <v>36</v>
      </c>
      <c r="G280" s="7" t="s">
        <v>996</v>
      </c>
      <c r="H280" s="9" t="s">
        <v>997</v>
      </c>
      <c r="I280" s="8" t="s">
        <v>1083</v>
      </c>
      <c r="J280" s="7" t="n">
        <v>2.41</v>
      </c>
      <c r="K280" s="7"/>
      <c r="L280" s="7" t="s">
        <v>26</v>
      </c>
      <c r="M280" s="8"/>
      <c r="N280" s="7" t="s">
        <v>27</v>
      </c>
      <c r="O280" s="8" t="s">
        <v>1077</v>
      </c>
    </row>
    <row r="281" customFormat="false" ht="60" hidden="false" customHeight="true" outlineLevel="0" collapsed="false">
      <c r="A281" s="4" t="s">
        <v>1084</v>
      </c>
      <c r="B281" s="5" t="s">
        <v>992</v>
      </c>
      <c r="C281" s="5" t="s">
        <v>1075</v>
      </c>
      <c r="D281" s="5" t="s">
        <v>1051</v>
      </c>
      <c r="E281" s="5" t="s">
        <v>1052</v>
      </c>
      <c r="F281" s="4" t="s">
        <v>36</v>
      </c>
      <c r="G281" s="4" t="s">
        <v>996</v>
      </c>
      <c r="H281" s="6" t="s">
        <v>997</v>
      </c>
      <c r="I281" s="5" t="s">
        <v>1085</v>
      </c>
      <c r="J281" s="4" t="n">
        <v>1.03</v>
      </c>
      <c r="K281" s="4"/>
      <c r="L281" s="4" t="s">
        <v>26</v>
      </c>
      <c r="M281" s="5"/>
      <c r="N281" s="4" t="s">
        <v>27</v>
      </c>
      <c r="O281" s="5" t="s">
        <v>1077</v>
      </c>
    </row>
    <row r="282" customFormat="false" ht="60" hidden="false" customHeight="true" outlineLevel="0" collapsed="false">
      <c r="A282" s="7" t="s">
        <v>1086</v>
      </c>
      <c r="B282" s="8" t="s">
        <v>992</v>
      </c>
      <c r="C282" s="8" t="s">
        <v>1075</v>
      </c>
      <c r="D282" s="8" t="s">
        <v>1055</v>
      </c>
      <c r="E282" s="8" t="s">
        <v>1056</v>
      </c>
      <c r="F282" s="7" t="s">
        <v>67</v>
      </c>
      <c r="G282" s="7" t="s">
        <v>996</v>
      </c>
      <c r="H282" s="9" t="s">
        <v>997</v>
      </c>
      <c r="I282" s="8" t="s">
        <v>1087</v>
      </c>
      <c r="J282" s="7" t="n">
        <v>0.69</v>
      </c>
      <c r="K282" s="7"/>
      <c r="L282" s="7" t="s">
        <v>26</v>
      </c>
      <c r="M282" s="8"/>
      <c r="N282" s="7" t="s">
        <v>27</v>
      </c>
      <c r="O282" s="8" t="s">
        <v>1077</v>
      </c>
    </row>
    <row r="283" customFormat="false" ht="60" hidden="false" customHeight="true" outlineLevel="0" collapsed="false">
      <c r="A283" s="4" t="s">
        <v>1088</v>
      </c>
      <c r="B283" s="5" t="s">
        <v>992</v>
      </c>
      <c r="C283" s="5" t="s">
        <v>1075</v>
      </c>
      <c r="D283" s="5" t="s">
        <v>1059</v>
      </c>
      <c r="E283" s="5" t="s">
        <v>1060</v>
      </c>
      <c r="F283" s="4" t="s">
        <v>53</v>
      </c>
      <c r="G283" s="4" t="s">
        <v>996</v>
      </c>
      <c r="H283" s="6" t="s">
        <v>997</v>
      </c>
      <c r="I283" s="5" t="s">
        <v>1089</v>
      </c>
      <c r="J283" s="4" t="n">
        <v>0.35</v>
      </c>
      <c r="K283" s="4"/>
      <c r="L283" s="4" t="s">
        <v>26</v>
      </c>
      <c r="M283" s="5"/>
      <c r="N283" s="4" t="s">
        <v>27</v>
      </c>
      <c r="O283" s="5" t="s">
        <v>1077</v>
      </c>
    </row>
    <row r="284" customFormat="false" ht="60" hidden="false" customHeight="true" outlineLevel="0" collapsed="false">
      <c r="A284" s="7" t="s">
        <v>1090</v>
      </c>
      <c r="B284" s="8" t="s">
        <v>992</v>
      </c>
      <c r="C284" s="8" t="s">
        <v>1075</v>
      </c>
      <c r="D284" s="8" t="s">
        <v>1063</v>
      </c>
      <c r="E284" s="8" t="s">
        <v>1064</v>
      </c>
      <c r="F284" s="7" t="s">
        <v>58</v>
      </c>
      <c r="G284" s="7" t="s">
        <v>996</v>
      </c>
      <c r="H284" s="9" t="s">
        <v>997</v>
      </c>
      <c r="I284" s="8" t="s">
        <v>1091</v>
      </c>
      <c r="J284" s="7" t="n">
        <v>0.27</v>
      </c>
      <c r="K284" s="7"/>
      <c r="L284" s="7" t="s">
        <v>26</v>
      </c>
      <c r="M284" s="8"/>
      <c r="N284" s="7" t="s">
        <v>27</v>
      </c>
      <c r="O284" s="8" t="s">
        <v>1077</v>
      </c>
    </row>
    <row r="285" customFormat="false" ht="60" hidden="false" customHeight="true" outlineLevel="0" collapsed="false">
      <c r="A285" s="4" t="s">
        <v>1092</v>
      </c>
      <c r="B285" s="5" t="s">
        <v>992</v>
      </c>
      <c r="C285" s="5" t="s">
        <v>1075</v>
      </c>
      <c r="D285" s="5" t="s">
        <v>1067</v>
      </c>
      <c r="E285" s="5" t="s">
        <v>1068</v>
      </c>
      <c r="F285" s="4" t="s">
        <v>67</v>
      </c>
      <c r="G285" s="4" t="s">
        <v>996</v>
      </c>
      <c r="H285" s="6" t="s">
        <v>997</v>
      </c>
      <c r="I285" s="5" t="s">
        <v>1093</v>
      </c>
      <c r="J285" s="4" t="n">
        <v>0.16</v>
      </c>
      <c r="K285" s="4"/>
      <c r="L285" s="4" t="s">
        <v>26</v>
      </c>
      <c r="M285" s="5"/>
      <c r="N285" s="4" t="s">
        <v>27</v>
      </c>
      <c r="O285" s="5" t="s">
        <v>1077</v>
      </c>
    </row>
    <row r="286" customFormat="false" ht="60" hidden="false" customHeight="true" outlineLevel="0" collapsed="false">
      <c r="A286" s="7" t="s">
        <v>1094</v>
      </c>
      <c r="B286" s="8" t="s">
        <v>992</v>
      </c>
      <c r="C286" s="8" t="s">
        <v>1075</v>
      </c>
      <c r="D286" s="8" t="s">
        <v>1071</v>
      </c>
      <c r="E286" s="8" t="s">
        <v>1072</v>
      </c>
      <c r="F286" s="7" t="s">
        <v>76</v>
      </c>
      <c r="G286" s="7" t="s">
        <v>996</v>
      </c>
      <c r="H286" s="9" t="s">
        <v>997</v>
      </c>
      <c r="I286" s="8" t="s">
        <v>1095</v>
      </c>
      <c r="J286" s="7" t="n">
        <v>0.45</v>
      </c>
      <c r="K286" s="7"/>
      <c r="L286" s="7" t="s">
        <v>26</v>
      </c>
      <c r="M286" s="8"/>
      <c r="N286" s="7" t="s">
        <v>27</v>
      </c>
      <c r="O286" s="8" t="s">
        <v>1077</v>
      </c>
    </row>
    <row r="287" customFormat="false" ht="60" hidden="false" customHeight="true" outlineLevel="0" collapsed="false">
      <c r="A287" s="4" t="s">
        <v>1096</v>
      </c>
      <c r="B287" s="5" t="s">
        <v>992</v>
      </c>
      <c r="C287" s="5" t="s">
        <v>1097</v>
      </c>
      <c r="D287" s="5" t="s">
        <v>1098</v>
      </c>
      <c r="E287" s="5" t="s">
        <v>1099</v>
      </c>
      <c r="F287" s="4" t="s">
        <v>22</v>
      </c>
      <c r="G287" s="4" t="s">
        <v>996</v>
      </c>
      <c r="H287" s="6" t="s">
        <v>997</v>
      </c>
      <c r="I287" s="5" t="s">
        <v>1100</v>
      </c>
      <c r="J287" s="4" t="n">
        <v>1.72</v>
      </c>
      <c r="K287" s="4"/>
      <c r="L287" s="4" t="s">
        <v>26</v>
      </c>
      <c r="M287" s="5"/>
      <c r="N287" s="4" t="s">
        <v>27</v>
      </c>
      <c r="O287" s="5" t="s">
        <v>1101</v>
      </c>
    </row>
    <row r="288" customFormat="false" ht="60" hidden="false" customHeight="true" outlineLevel="0" collapsed="false">
      <c r="A288" s="7" t="s">
        <v>1102</v>
      </c>
      <c r="B288" s="8" t="s">
        <v>992</v>
      </c>
      <c r="C288" s="8" t="s">
        <v>1097</v>
      </c>
      <c r="D288" s="8" t="s">
        <v>1103</v>
      </c>
      <c r="E288" s="8" t="s">
        <v>1104</v>
      </c>
      <c r="F288" s="7" t="s">
        <v>22</v>
      </c>
      <c r="G288" s="7" t="s">
        <v>996</v>
      </c>
      <c r="H288" s="9" t="s">
        <v>997</v>
      </c>
      <c r="I288" s="8" t="s">
        <v>1105</v>
      </c>
      <c r="J288" s="7" t="n">
        <v>1.38</v>
      </c>
      <c r="K288" s="7"/>
      <c r="L288" s="7" t="s">
        <v>26</v>
      </c>
      <c r="M288" s="8"/>
      <c r="N288" s="7" t="s">
        <v>27</v>
      </c>
      <c r="O288" s="8" t="s">
        <v>1101</v>
      </c>
    </row>
    <row r="289" customFormat="false" ht="60" hidden="false" customHeight="true" outlineLevel="0" collapsed="false">
      <c r="A289" s="4" t="s">
        <v>1106</v>
      </c>
      <c r="B289" s="5" t="s">
        <v>992</v>
      </c>
      <c r="C289" s="5" t="s">
        <v>1097</v>
      </c>
      <c r="D289" s="5" t="s">
        <v>1107</v>
      </c>
      <c r="E289" s="5" t="s">
        <v>1108</v>
      </c>
      <c r="F289" s="4" t="s">
        <v>36</v>
      </c>
      <c r="G289" s="4" t="s">
        <v>996</v>
      </c>
      <c r="H289" s="6" t="s">
        <v>997</v>
      </c>
      <c r="I289" s="5" t="s">
        <v>1109</v>
      </c>
      <c r="J289" s="4" t="n">
        <v>1.49</v>
      </c>
      <c r="K289" s="4"/>
      <c r="L289" s="4" t="s">
        <v>26</v>
      </c>
      <c r="M289" s="5"/>
      <c r="N289" s="4" t="s">
        <v>27</v>
      </c>
      <c r="O289" s="5" t="s">
        <v>1101</v>
      </c>
    </row>
    <row r="290" customFormat="false" ht="60" hidden="false" customHeight="true" outlineLevel="0" collapsed="false">
      <c r="A290" s="7" t="s">
        <v>1110</v>
      </c>
      <c r="B290" s="8" t="s">
        <v>992</v>
      </c>
      <c r="C290" s="8" t="s">
        <v>1097</v>
      </c>
      <c r="D290" s="8" t="s">
        <v>1111</v>
      </c>
      <c r="E290" s="8" t="s">
        <v>1112</v>
      </c>
      <c r="F290" s="7" t="s">
        <v>36</v>
      </c>
      <c r="G290" s="7" t="s">
        <v>996</v>
      </c>
      <c r="H290" s="9" t="s">
        <v>997</v>
      </c>
      <c r="I290" s="8" t="s">
        <v>1113</v>
      </c>
      <c r="J290" s="7" t="n">
        <v>4.01</v>
      </c>
      <c r="K290" s="7"/>
      <c r="L290" s="7" t="s">
        <v>26</v>
      </c>
      <c r="M290" s="8"/>
      <c r="N290" s="7" t="s">
        <v>27</v>
      </c>
      <c r="O290" s="8" t="s">
        <v>1101</v>
      </c>
    </row>
    <row r="291" customFormat="false" ht="60" hidden="false" customHeight="true" outlineLevel="0" collapsed="false">
      <c r="A291" s="4" t="s">
        <v>1114</v>
      </c>
      <c r="B291" s="5" t="s">
        <v>992</v>
      </c>
      <c r="C291" s="5" t="s">
        <v>1097</v>
      </c>
      <c r="D291" s="5" t="s">
        <v>1115</v>
      </c>
      <c r="E291" s="5" t="s">
        <v>1116</v>
      </c>
      <c r="F291" s="4" t="s">
        <v>36</v>
      </c>
      <c r="G291" s="4" t="s">
        <v>996</v>
      </c>
      <c r="H291" s="6" t="s">
        <v>997</v>
      </c>
      <c r="I291" s="5" t="s">
        <v>1117</v>
      </c>
      <c r="J291" s="4" t="n">
        <v>1.72</v>
      </c>
      <c r="K291" s="4"/>
      <c r="L291" s="4" t="s">
        <v>26</v>
      </c>
      <c r="M291" s="5"/>
      <c r="N291" s="4" t="s">
        <v>27</v>
      </c>
      <c r="O291" s="5" t="s">
        <v>1101</v>
      </c>
    </row>
    <row r="292" customFormat="false" ht="60" hidden="false" customHeight="true" outlineLevel="0" collapsed="false">
      <c r="A292" s="7" t="s">
        <v>1118</v>
      </c>
      <c r="B292" s="8" t="s">
        <v>992</v>
      </c>
      <c r="C292" s="8" t="s">
        <v>1097</v>
      </c>
      <c r="D292" s="8" t="s">
        <v>1119</v>
      </c>
      <c r="E292" s="8" t="s">
        <v>1120</v>
      </c>
      <c r="F292" s="7" t="s">
        <v>67</v>
      </c>
      <c r="G292" s="7" t="s">
        <v>996</v>
      </c>
      <c r="H292" s="9" t="s">
        <v>997</v>
      </c>
      <c r="I292" s="8" t="s">
        <v>1121</v>
      </c>
      <c r="J292" s="7" t="n">
        <v>1.15</v>
      </c>
      <c r="K292" s="7"/>
      <c r="L292" s="7" t="s">
        <v>26</v>
      </c>
      <c r="M292" s="8"/>
      <c r="N292" s="7" t="s">
        <v>27</v>
      </c>
      <c r="O292" s="8" t="s">
        <v>1101</v>
      </c>
    </row>
    <row r="293" customFormat="false" ht="60" hidden="false" customHeight="true" outlineLevel="0" collapsed="false">
      <c r="A293" s="4" t="s">
        <v>1122</v>
      </c>
      <c r="B293" s="5" t="s">
        <v>992</v>
      </c>
      <c r="C293" s="5" t="s">
        <v>1097</v>
      </c>
      <c r="D293" s="5" t="s">
        <v>1123</v>
      </c>
      <c r="E293" s="5" t="s">
        <v>1124</v>
      </c>
      <c r="F293" s="4" t="s">
        <v>53</v>
      </c>
      <c r="G293" s="4" t="s">
        <v>996</v>
      </c>
      <c r="H293" s="6" t="s">
        <v>997</v>
      </c>
      <c r="I293" s="5" t="s">
        <v>1125</v>
      </c>
      <c r="J293" s="4" t="n">
        <v>0.58</v>
      </c>
      <c r="K293" s="4"/>
      <c r="L293" s="4" t="s">
        <v>26</v>
      </c>
      <c r="M293" s="5"/>
      <c r="N293" s="4" t="s">
        <v>27</v>
      </c>
      <c r="O293" s="5" t="s">
        <v>1101</v>
      </c>
    </row>
    <row r="294" customFormat="false" ht="60" hidden="false" customHeight="true" outlineLevel="0" collapsed="false">
      <c r="A294" s="7" t="s">
        <v>1126</v>
      </c>
      <c r="B294" s="8" t="s">
        <v>992</v>
      </c>
      <c r="C294" s="8" t="s">
        <v>1097</v>
      </c>
      <c r="D294" s="8" t="s">
        <v>1127</v>
      </c>
      <c r="E294" s="8" t="s">
        <v>1128</v>
      </c>
      <c r="F294" s="7" t="s">
        <v>58</v>
      </c>
      <c r="G294" s="7" t="s">
        <v>996</v>
      </c>
      <c r="H294" s="9" t="s">
        <v>997</v>
      </c>
      <c r="I294" s="8" t="s">
        <v>1129</v>
      </c>
      <c r="J294" s="7" t="n">
        <v>0.45</v>
      </c>
      <c r="K294" s="7"/>
      <c r="L294" s="7" t="s">
        <v>26</v>
      </c>
      <c r="M294" s="8"/>
      <c r="N294" s="7" t="s">
        <v>27</v>
      </c>
      <c r="O294" s="8" t="s">
        <v>1101</v>
      </c>
    </row>
    <row r="295" customFormat="false" ht="60" hidden="false" customHeight="true" outlineLevel="0" collapsed="false">
      <c r="A295" s="4" t="s">
        <v>1130</v>
      </c>
      <c r="B295" s="5" t="s">
        <v>992</v>
      </c>
      <c r="C295" s="5" t="s">
        <v>1097</v>
      </c>
      <c r="D295" s="5" t="s">
        <v>1131</v>
      </c>
      <c r="E295" s="5" t="s">
        <v>1132</v>
      </c>
      <c r="F295" s="4" t="s">
        <v>67</v>
      </c>
      <c r="G295" s="4" t="s">
        <v>996</v>
      </c>
      <c r="H295" s="6" t="s">
        <v>997</v>
      </c>
      <c r="I295" s="5" t="s">
        <v>1133</v>
      </c>
      <c r="J295" s="4" t="n">
        <v>0.26</v>
      </c>
      <c r="K295" s="4"/>
      <c r="L295" s="4" t="s">
        <v>26</v>
      </c>
      <c r="M295" s="5"/>
      <c r="N295" s="4" t="s">
        <v>27</v>
      </c>
      <c r="O295" s="5" t="s">
        <v>1101</v>
      </c>
    </row>
    <row r="296" customFormat="false" ht="60" hidden="false" customHeight="true" outlineLevel="0" collapsed="false">
      <c r="A296" s="7" t="s">
        <v>1134</v>
      </c>
      <c r="B296" s="8" t="s">
        <v>992</v>
      </c>
      <c r="C296" s="8" t="s">
        <v>1097</v>
      </c>
      <c r="D296" s="8" t="s">
        <v>1135</v>
      </c>
      <c r="E296" s="8" t="s">
        <v>1136</v>
      </c>
      <c r="F296" s="7" t="s">
        <v>76</v>
      </c>
      <c r="G296" s="7" t="s">
        <v>996</v>
      </c>
      <c r="H296" s="9" t="s">
        <v>997</v>
      </c>
      <c r="I296" s="8" t="s">
        <v>1137</v>
      </c>
      <c r="J296" s="7" t="n">
        <v>0.76</v>
      </c>
      <c r="K296" s="7"/>
      <c r="L296" s="7" t="s">
        <v>26</v>
      </c>
      <c r="M296" s="8"/>
      <c r="N296" s="7" t="s">
        <v>27</v>
      </c>
      <c r="O296" s="8" t="s">
        <v>1101</v>
      </c>
    </row>
    <row r="297" customFormat="false" ht="60" hidden="false" customHeight="true" outlineLevel="0" collapsed="false">
      <c r="A297" s="4" t="s">
        <v>1138</v>
      </c>
      <c r="B297" s="5" t="s">
        <v>992</v>
      </c>
      <c r="C297" s="5" t="s">
        <v>1139</v>
      </c>
      <c r="D297" s="5" t="s">
        <v>1140</v>
      </c>
      <c r="E297" s="5" t="s">
        <v>1141</v>
      </c>
      <c r="F297" s="4" t="s">
        <v>22</v>
      </c>
      <c r="G297" s="4" t="s">
        <v>996</v>
      </c>
      <c r="H297" s="6" t="s">
        <v>997</v>
      </c>
      <c r="I297" s="5" t="s">
        <v>1142</v>
      </c>
      <c r="J297" s="4" t="n">
        <v>0.69</v>
      </c>
      <c r="K297" s="4"/>
      <c r="L297" s="4" t="s">
        <v>253</v>
      </c>
      <c r="M297" s="5"/>
      <c r="N297" s="4" t="s">
        <v>27</v>
      </c>
      <c r="O297" s="5" t="s">
        <v>1143</v>
      </c>
    </row>
    <row r="298" customFormat="false" ht="60" hidden="false" customHeight="true" outlineLevel="0" collapsed="false">
      <c r="A298" s="7" t="s">
        <v>1144</v>
      </c>
      <c r="B298" s="8" t="s">
        <v>992</v>
      </c>
      <c r="C298" s="8" t="s">
        <v>1139</v>
      </c>
      <c r="D298" s="8" t="s">
        <v>1145</v>
      </c>
      <c r="E298" s="8" t="s">
        <v>1146</v>
      </c>
      <c r="F298" s="7" t="s">
        <v>22</v>
      </c>
      <c r="G298" s="7" t="s">
        <v>996</v>
      </c>
      <c r="H298" s="9" t="s">
        <v>997</v>
      </c>
      <c r="I298" s="8" t="s">
        <v>1147</v>
      </c>
      <c r="J298" s="7" t="n">
        <v>0.55</v>
      </c>
      <c r="K298" s="7"/>
      <c r="L298" s="7" t="s">
        <v>253</v>
      </c>
      <c r="M298" s="8"/>
      <c r="N298" s="7" t="s">
        <v>27</v>
      </c>
      <c r="O298" s="8" t="s">
        <v>1143</v>
      </c>
    </row>
    <row r="299" customFormat="false" ht="60" hidden="false" customHeight="true" outlineLevel="0" collapsed="false">
      <c r="A299" s="4" t="s">
        <v>1148</v>
      </c>
      <c r="B299" s="5" t="s">
        <v>992</v>
      </c>
      <c r="C299" s="5" t="s">
        <v>1139</v>
      </c>
      <c r="D299" s="5" t="s">
        <v>1149</v>
      </c>
      <c r="E299" s="5" t="s">
        <v>1150</v>
      </c>
      <c r="F299" s="4" t="s">
        <v>36</v>
      </c>
      <c r="G299" s="4" t="s">
        <v>996</v>
      </c>
      <c r="H299" s="6" t="s">
        <v>997</v>
      </c>
      <c r="I299" s="5" t="s">
        <v>1151</v>
      </c>
      <c r="J299" s="4" t="n">
        <v>0.6</v>
      </c>
      <c r="K299" s="4"/>
      <c r="L299" s="4" t="s">
        <v>253</v>
      </c>
      <c r="M299" s="5"/>
      <c r="N299" s="4" t="s">
        <v>27</v>
      </c>
      <c r="O299" s="5" t="s">
        <v>1143</v>
      </c>
    </row>
    <row r="300" customFormat="false" ht="60" hidden="false" customHeight="true" outlineLevel="0" collapsed="false">
      <c r="A300" s="7" t="s">
        <v>1152</v>
      </c>
      <c r="B300" s="8" t="s">
        <v>992</v>
      </c>
      <c r="C300" s="8" t="s">
        <v>1139</v>
      </c>
      <c r="D300" s="8" t="s">
        <v>1153</v>
      </c>
      <c r="E300" s="8" t="s">
        <v>1154</v>
      </c>
      <c r="F300" s="7" t="s">
        <v>36</v>
      </c>
      <c r="G300" s="7" t="s">
        <v>996</v>
      </c>
      <c r="H300" s="9" t="s">
        <v>997</v>
      </c>
      <c r="I300" s="8" t="s">
        <v>1155</v>
      </c>
      <c r="J300" s="7" t="n">
        <v>1.6</v>
      </c>
      <c r="K300" s="7"/>
      <c r="L300" s="7" t="s">
        <v>253</v>
      </c>
      <c r="M300" s="8"/>
      <c r="N300" s="7" t="s">
        <v>27</v>
      </c>
      <c r="O300" s="8" t="s">
        <v>1143</v>
      </c>
    </row>
    <row r="301" customFormat="false" ht="60" hidden="false" customHeight="true" outlineLevel="0" collapsed="false">
      <c r="A301" s="4" t="s">
        <v>1156</v>
      </c>
      <c r="B301" s="5" t="s">
        <v>992</v>
      </c>
      <c r="C301" s="5" t="s">
        <v>1139</v>
      </c>
      <c r="D301" s="5" t="s">
        <v>1157</v>
      </c>
      <c r="E301" s="5" t="s">
        <v>1158</v>
      </c>
      <c r="F301" s="4" t="s">
        <v>36</v>
      </c>
      <c r="G301" s="4" t="s">
        <v>996</v>
      </c>
      <c r="H301" s="6" t="s">
        <v>997</v>
      </c>
      <c r="I301" s="5" t="s">
        <v>1159</v>
      </c>
      <c r="J301" s="4" t="n">
        <v>0.69</v>
      </c>
      <c r="K301" s="4"/>
      <c r="L301" s="4" t="s">
        <v>253</v>
      </c>
      <c r="M301" s="5"/>
      <c r="N301" s="4" t="s">
        <v>27</v>
      </c>
      <c r="O301" s="5" t="s">
        <v>1143</v>
      </c>
    </row>
    <row r="302" customFormat="false" ht="60" hidden="false" customHeight="true" outlineLevel="0" collapsed="false">
      <c r="A302" s="7" t="s">
        <v>1160</v>
      </c>
      <c r="B302" s="8" t="s">
        <v>992</v>
      </c>
      <c r="C302" s="8" t="s">
        <v>1139</v>
      </c>
      <c r="D302" s="8" t="s">
        <v>1161</v>
      </c>
      <c r="E302" s="8" t="s">
        <v>1162</v>
      </c>
      <c r="F302" s="7" t="s">
        <v>67</v>
      </c>
      <c r="G302" s="7" t="s">
        <v>996</v>
      </c>
      <c r="H302" s="9" t="s">
        <v>997</v>
      </c>
      <c r="I302" s="8" t="s">
        <v>1163</v>
      </c>
      <c r="J302" s="7" t="n">
        <v>0.46</v>
      </c>
      <c r="K302" s="7"/>
      <c r="L302" s="7" t="s">
        <v>253</v>
      </c>
      <c r="M302" s="8"/>
      <c r="N302" s="7" t="s">
        <v>27</v>
      </c>
      <c r="O302" s="8" t="s">
        <v>1143</v>
      </c>
    </row>
    <row r="303" customFormat="false" ht="60" hidden="false" customHeight="true" outlineLevel="0" collapsed="false">
      <c r="A303" s="4" t="s">
        <v>1164</v>
      </c>
      <c r="B303" s="5" t="s">
        <v>992</v>
      </c>
      <c r="C303" s="5" t="s">
        <v>1139</v>
      </c>
      <c r="D303" s="5" t="s">
        <v>1165</v>
      </c>
      <c r="E303" s="5" t="s">
        <v>1166</v>
      </c>
      <c r="F303" s="4" t="s">
        <v>53</v>
      </c>
      <c r="G303" s="4" t="s">
        <v>996</v>
      </c>
      <c r="H303" s="6" t="s">
        <v>997</v>
      </c>
      <c r="I303" s="5" t="s">
        <v>1167</v>
      </c>
      <c r="J303" s="4" t="n">
        <v>0.23</v>
      </c>
      <c r="K303" s="4"/>
      <c r="L303" s="4" t="s">
        <v>253</v>
      </c>
      <c r="M303" s="5"/>
      <c r="N303" s="4" t="s">
        <v>27</v>
      </c>
      <c r="O303" s="5" t="s">
        <v>1143</v>
      </c>
    </row>
    <row r="304" customFormat="false" ht="60" hidden="false" customHeight="true" outlineLevel="0" collapsed="false">
      <c r="A304" s="7" t="s">
        <v>1168</v>
      </c>
      <c r="B304" s="8" t="s">
        <v>992</v>
      </c>
      <c r="C304" s="8" t="s">
        <v>1139</v>
      </c>
      <c r="D304" s="8" t="s">
        <v>1169</v>
      </c>
      <c r="E304" s="8" t="s">
        <v>1170</v>
      </c>
      <c r="F304" s="7" t="s">
        <v>58</v>
      </c>
      <c r="G304" s="7" t="s">
        <v>996</v>
      </c>
      <c r="H304" s="9" t="s">
        <v>997</v>
      </c>
      <c r="I304" s="8" t="s">
        <v>1171</v>
      </c>
      <c r="J304" s="7" t="n">
        <v>0.18</v>
      </c>
      <c r="K304" s="7"/>
      <c r="L304" s="7" t="s">
        <v>253</v>
      </c>
      <c r="M304" s="8"/>
      <c r="N304" s="7" t="s">
        <v>27</v>
      </c>
      <c r="O304" s="8" t="s">
        <v>1143</v>
      </c>
    </row>
    <row r="305" customFormat="false" ht="60" hidden="false" customHeight="true" outlineLevel="0" collapsed="false">
      <c r="A305" s="4" t="s">
        <v>1172</v>
      </c>
      <c r="B305" s="5" t="s">
        <v>992</v>
      </c>
      <c r="C305" s="5" t="s">
        <v>1139</v>
      </c>
      <c r="D305" s="5" t="s">
        <v>1173</v>
      </c>
      <c r="E305" s="5" t="s">
        <v>1174</v>
      </c>
      <c r="F305" s="4" t="s">
        <v>67</v>
      </c>
      <c r="G305" s="4" t="s">
        <v>996</v>
      </c>
      <c r="H305" s="6" t="s">
        <v>997</v>
      </c>
      <c r="I305" s="5" t="s">
        <v>1175</v>
      </c>
      <c r="J305" s="4" t="n">
        <v>0.1</v>
      </c>
      <c r="K305" s="4"/>
      <c r="L305" s="4" t="s">
        <v>253</v>
      </c>
      <c r="M305" s="5"/>
      <c r="N305" s="4" t="s">
        <v>27</v>
      </c>
      <c r="O305" s="5" t="s">
        <v>1143</v>
      </c>
    </row>
    <row r="306" customFormat="false" ht="60" hidden="false" customHeight="true" outlineLevel="0" collapsed="false">
      <c r="A306" s="7" t="s">
        <v>1176</v>
      </c>
      <c r="B306" s="8" t="s">
        <v>992</v>
      </c>
      <c r="C306" s="8" t="s">
        <v>1139</v>
      </c>
      <c r="D306" s="8" t="s">
        <v>1177</v>
      </c>
      <c r="E306" s="8" t="s">
        <v>1178</v>
      </c>
      <c r="F306" s="7" t="s">
        <v>76</v>
      </c>
      <c r="G306" s="7" t="s">
        <v>996</v>
      </c>
      <c r="H306" s="9" t="s">
        <v>997</v>
      </c>
      <c r="I306" s="8" t="s">
        <v>1179</v>
      </c>
      <c r="J306" s="7" t="n">
        <v>0.3</v>
      </c>
      <c r="K306" s="7"/>
      <c r="L306" s="7" t="s">
        <v>253</v>
      </c>
      <c r="M306" s="8"/>
      <c r="N306" s="7" t="s">
        <v>27</v>
      </c>
      <c r="O306" s="8" t="s">
        <v>1143</v>
      </c>
    </row>
    <row r="307" customFormat="false" ht="60" hidden="false" customHeight="true" outlineLevel="0" collapsed="false">
      <c r="A307" s="4" t="s">
        <v>1180</v>
      </c>
      <c r="B307" s="5" t="s">
        <v>1181</v>
      </c>
      <c r="C307" s="5" t="s">
        <v>1182</v>
      </c>
      <c r="D307" s="5" t="s">
        <v>1183</v>
      </c>
      <c r="E307" s="5" t="s">
        <v>1184</v>
      </c>
      <c r="F307" s="4" t="s">
        <v>22</v>
      </c>
      <c r="G307" s="4" t="s">
        <v>1185</v>
      </c>
      <c r="H307" s="6" t="s">
        <v>1186</v>
      </c>
      <c r="I307" s="5" t="s">
        <v>1187</v>
      </c>
      <c r="J307" s="4" t="n">
        <v>2.15</v>
      </c>
      <c r="K307" s="4"/>
      <c r="L307" s="4" t="s">
        <v>26</v>
      </c>
      <c r="M307" s="5"/>
      <c r="N307" s="4" t="s">
        <v>27</v>
      </c>
      <c r="O307" s="5" t="s">
        <v>1188</v>
      </c>
    </row>
    <row r="308" customFormat="false" ht="60" hidden="false" customHeight="true" outlineLevel="0" collapsed="false">
      <c r="A308" s="7" t="s">
        <v>1189</v>
      </c>
      <c r="B308" s="8" t="s">
        <v>1181</v>
      </c>
      <c r="C308" s="8" t="s">
        <v>1182</v>
      </c>
      <c r="D308" s="8" t="s">
        <v>1190</v>
      </c>
      <c r="E308" s="8" t="s">
        <v>1191</v>
      </c>
      <c r="F308" s="7" t="s">
        <v>22</v>
      </c>
      <c r="G308" s="7" t="s">
        <v>1185</v>
      </c>
      <c r="H308" s="9" t="s">
        <v>1186</v>
      </c>
      <c r="I308" s="8" t="s">
        <v>1192</v>
      </c>
      <c r="J308" s="7" t="n">
        <v>1.72</v>
      </c>
      <c r="K308" s="7"/>
      <c r="L308" s="7" t="s">
        <v>26</v>
      </c>
      <c r="M308" s="8"/>
      <c r="N308" s="7" t="s">
        <v>27</v>
      </c>
      <c r="O308" s="8" t="s">
        <v>1188</v>
      </c>
    </row>
    <row r="309" customFormat="false" ht="60" hidden="false" customHeight="true" outlineLevel="0" collapsed="false">
      <c r="A309" s="4" t="s">
        <v>1193</v>
      </c>
      <c r="B309" s="5" t="s">
        <v>1181</v>
      </c>
      <c r="C309" s="5" t="s">
        <v>1182</v>
      </c>
      <c r="D309" s="5" t="s">
        <v>1194</v>
      </c>
      <c r="E309" s="5" t="s">
        <v>1195</v>
      </c>
      <c r="F309" s="4" t="s">
        <v>36</v>
      </c>
      <c r="G309" s="4" t="s">
        <v>1185</v>
      </c>
      <c r="H309" s="6" t="s">
        <v>1186</v>
      </c>
      <c r="I309" s="5" t="s">
        <v>1196</v>
      </c>
      <c r="J309" s="4" t="n">
        <v>1.86</v>
      </c>
      <c r="K309" s="4"/>
      <c r="L309" s="4" t="s">
        <v>26</v>
      </c>
      <c r="M309" s="5"/>
      <c r="N309" s="4" t="s">
        <v>27</v>
      </c>
      <c r="O309" s="5" t="s">
        <v>1188</v>
      </c>
    </row>
    <row r="310" customFormat="false" ht="60" hidden="false" customHeight="true" outlineLevel="0" collapsed="false">
      <c r="A310" s="7" t="s">
        <v>1197</v>
      </c>
      <c r="B310" s="8" t="s">
        <v>1181</v>
      </c>
      <c r="C310" s="8" t="s">
        <v>1182</v>
      </c>
      <c r="D310" s="8" t="s">
        <v>1198</v>
      </c>
      <c r="E310" s="8" t="s">
        <v>1199</v>
      </c>
      <c r="F310" s="7" t="s">
        <v>36</v>
      </c>
      <c r="G310" s="7" t="s">
        <v>1185</v>
      </c>
      <c r="H310" s="9" t="s">
        <v>1186</v>
      </c>
      <c r="I310" s="8" t="s">
        <v>1200</v>
      </c>
      <c r="J310" s="7" t="n">
        <v>5.02</v>
      </c>
      <c r="K310" s="7"/>
      <c r="L310" s="7" t="s">
        <v>26</v>
      </c>
      <c r="M310" s="8"/>
      <c r="N310" s="7" t="s">
        <v>27</v>
      </c>
      <c r="O310" s="8" t="s">
        <v>1188</v>
      </c>
    </row>
    <row r="311" customFormat="false" ht="60" hidden="false" customHeight="true" outlineLevel="0" collapsed="false">
      <c r="A311" s="4" t="s">
        <v>1201</v>
      </c>
      <c r="B311" s="5" t="s">
        <v>1181</v>
      </c>
      <c r="C311" s="5" t="s">
        <v>1182</v>
      </c>
      <c r="D311" s="5" t="s">
        <v>1202</v>
      </c>
      <c r="E311" s="5" t="s">
        <v>1203</v>
      </c>
      <c r="F311" s="4" t="s">
        <v>36</v>
      </c>
      <c r="G311" s="4" t="s">
        <v>1185</v>
      </c>
      <c r="H311" s="6" t="s">
        <v>1186</v>
      </c>
      <c r="I311" s="5" t="s">
        <v>1204</v>
      </c>
      <c r="J311" s="4" t="n">
        <v>2.15</v>
      </c>
      <c r="K311" s="4"/>
      <c r="L311" s="4" t="s">
        <v>26</v>
      </c>
      <c r="M311" s="5"/>
      <c r="N311" s="4" t="s">
        <v>27</v>
      </c>
      <c r="O311" s="5" t="s">
        <v>1188</v>
      </c>
    </row>
    <row r="312" customFormat="false" ht="60" hidden="false" customHeight="true" outlineLevel="0" collapsed="false">
      <c r="A312" s="7" t="s">
        <v>1205</v>
      </c>
      <c r="B312" s="8" t="s">
        <v>1181</v>
      </c>
      <c r="C312" s="8" t="s">
        <v>1182</v>
      </c>
      <c r="D312" s="8" t="s">
        <v>1206</v>
      </c>
      <c r="E312" s="8" t="s">
        <v>1207</v>
      </c>
      <c r="F312" s="7" t="s">
        <v>67</v>
      </c>
      <c r="G312" s="7" t="s">
        <v>1185</v>
      </c>
      <c r="H312" s="9" t="s">
        <v>1186</v>
      </c>
      <c r="I312" s="8" t="s">
        <v>1208</v>
      </c>
      <c r="J312" s="7" t="n">
        <v>1.43</v>
      </c>
      <c r="K312" s="7"/>
      <c r="L312" s="7" t="s">
        <v>26</v>
      </c>
      <c r="M312" s="8"/>
      <c r="N312" s="7" t="s">
        <v>27</v>
      </c>
      <c r="O312" s="8" t="s">
        <v>1188</v>
      </c>
    </row>
    <row r="313" customFormat="false" ht="60" hidden="false" customHeight="true" outlineLevel="0" collapsed="false">
      <c r="A313" s="4" t="s">
        <v>1209</v>
      </c>
      <c r="B313" s="5" t="s">
        <v>1181</v>
      </c>
      <c r="C313" s="5" t="s">
        <v>1182</v>
      </c>
      <c r="D313" s="5" t="s">
        <v>1210</v>
      </c>
      <c r="E313" s="5" t="s">
        <v>1211</v>
      </c>
      <c r="F313" s="4" t="s">
        <v>53</v>
      </c>
      <c r="G313" s="4" t="s">
        <v>1185</v>
      </c>
      <c r="H313" s="6" t="s">
        <v>1186</v>
      </c>
      <c r="I313" s="5" t="s">
        <v>1212</v>
      </c>
      <c r="J313" s="4" t="n">
        <v>2.43</v>
      </c>
      <c r="K313" s="4"/>
      <c r="L313" s="4" t="s">
        <v>26</v>
      </c>
      <c r="M313" s="5"/>
      <c r="N313" s="4" t="s">
        <v>27</v>
      </c>
      <c r="O313" s="5" t="s">
        <v>1188</v>
      </c>
    </row>
    <row r="314" customFormat="false" ht="60" hidden="false" customHeight="true" outlineLevel="0" collapsed="false">
      <c r="A314" s="7" t="s">
        <v>1213</v>
      </c>
      <c r="B314" s="8" t="s">
        <v>1181</v>
      </c>
      <c r="C314" s="8" t="s">
        <v>1182</v>
      </c>
      <c r="D314" s="8" t="s">
        <v>1214</v>
      </c>
      <c r="E314" s="8" t="s">
        <v>1215</v>
      </c>
      <c r="F314" s="7" t="s">
        <v>58</v>
      </c>
      <c r="G314" s="7" t="s">
        <v>1185</v>
      </c>
      <c r="H314" s="9" t="s">
        <v>1186</v>
      </c>
      <c r="I314" s="8" t="s">
        <v>1216</v>
      </c>
      <c r="J314" s="7" t="n">
        <v>1.89</v>
      </c>
      <c r="K314" s="7"/>
      <c r="L314" s="7" t="s">
        <v>26</v>
      </c>
      <c r="M314" s="8"/>
      <c r="N314" s="7" t="s">
        <v>27</v>
      </c>
      <c r="O314" s="8" t="s">
        <v>1188</v>
      </c>
    </row>
    <row r="315" customFormat="false" ht="60" hidden="false" customHeight="true" outlineLevel="0" collapsed="false">
      <c r="A315" s="4" t="s">
        <v>1217</v>
      </c>
      <c r="B315" s="5" t="s">
        <v>1181</v>
      </c>
      <c r="C315" s="5" t="s">
        <v>1182</v>
      </c>
      <c r="D315" s="5" t="s">
        <v>1218</v>
      </c>
      <c r="E315" s="5" t="s">
        <v>1219</v>
      </c>
      <c r="F315" s="4" t="s">
        <v>67</v>
      </c>
      <c r="G315" s="4" t="s">
        <v>1185</v>
      </c>
      <c r="H315" s="6" t="s">
        <v>1186</v>
      </c>
      <c r="I315" s="5" t="s">
        <v>1220</v>
      </c>
      <c r="J315" s="4" t="n">
        <v>1.08</v>
      </c>
      <c r="K315" s="4"/>
      <c r="L315" s="4" t="s">
        <v>26</v>
      </c>
      <c r="M315" s="5"/>
      <c r="N315" s="4" t="s">
        <v>27</v>
      </c>
      <c r="O315" s="5" t="s">
        <v>1188</v>
      </c>
    </row>
    <row r="316" customFormat="false" ht="60" hidden="false" customHeight="true" outlineLevel="0" collapsed="false">
      <c r="A316" s="7" t="s">
        <v>1221</v>
      </c>
      <c r="B316" s="8" t="s">
        <v>1181</v>
      </c>
      <c r="C316" s="8" t="s">
        <v>1182</v>
      </c>
      <c r="D316" s="8" t="s">
        <v>1222</v>
      </c>
      <c r="E316" s="8" t="s">
        <v>1223</v>
      </c>
      <c r="F316" s="7" t="s">
        <v>76</v>
      </c>
      <c r="G316" s="7" t="s">
        <v>1185</v>
      </c>
      <c r="H316" s="9" t="s">
        <v>1186</v>
      </c>
      <c r="I316" s="8" t="s">
        <v>1224</v>
      </c>
      <c r="J316" s="7" t="n">
        <v>1.91</v>
      </c>
      <c r="K316" s="7"/>
      <c r="L316" s="7" t="s">
        <v>26</v>
      </c>
      <c r="M316" s="8"/>
      <c r="N316" s="7" t="s">
        <v>27</v>
      </c>
      <c r="O316" s="8" t="s">
        <v>1188</v>
      </c>
    </row>
    <row r="317" customFormat="false" ht="60" hidden="false" customHeight="true" outlineLevel="0" collapsed="false">
      <c r="A317" s="4" t="s">
        <v>1225</v>
      </c>
      <c r="B317" s="5" t="s">
        <v>1181</v>
      </c>
      <c r="C317" s="5" t="s">
        <v>1226</v>
      </c>
      <c r="D317" s="5" t="s">
        <v>1183</v>
      </c>
      <c r="E317" s="5" t="s">
        <v>1184</v>
      </c>
      <c r="F317" s="4" t="s">
        <v>22</v>
      </c>
      <c r="G317" s="4" t="s">
        <v>1185</v>
      </c>
      <c r="H317" s="6" t="s">
        <v>1186</v>
      </c>
      <c r="I317" s="5" t="s">
        <v>1227</v>
      </c>
      <c r="J317" s="4" t="n">
        <v>1.34</v>
      </c>
      <c r="K317" s="4"/>
      <c r="L317" s="4" t="s">
        <v>26</v>
      </c>
      <c r="M317" s="5"/>
      <c r="N317" s="4" t="s">
        <v>27</v>
      </c>
      <c r="O317" s="5" t="s">
        <v>1228</v>
      </c>
    </row>
    <row r="318" customFormat="false" ht="60" hidden="false" customHeight="true" outlineLevel="0" collapsed="false">
      <c r="A318" s="7" t="s">
        <v>1229</v>
      </c>
      <c r="B318" s="8" t="s">
        <v>1181</v>
      </c>
      <c r="C318" s="8" t="s">
        <v>1226</v>
      </c>
      <c r="D318" s="8" t="s">
        <v>1190</v>
      </c>
      <c r="E318" s="8" t="s">
        <v>1191</v>
      </c>
      <c r="F318" s="7" t="s">
        <v>22</v>
      </c>
      <c r="G318" s="7" t="s">
        <v>1185</v>
      </c>
      <c r="H318" s="9" t="s">
        <v>1186</v>
      </c>
      <c r="I318" s="8" t="s">
        <v>1230</v>
      </c>
      <c r="J318" s="7" t="n">
        <v>1.08</v>
      </c>
      <c r="K318" s="7"/>
      <c r="L318" s="7" t="s">
        <v>26</v>
      </c>
      <c r="M318" s="8"/>
      <c r="N318" s="7" t="s">
        <v>27</v>
      </c>
      <c r="O318" s="8" t="s">
        <v>1228</v>
      </c>
    </row>
    <row r="319" customFormat="false" ht="60" hidden="false" customHeight="true" outlineLevel="0" collapsed="false">
      <c r="A319" s="4" t="s">
        <v>1231</v>
      </c>
      <c r="B319" s="5" t="s">
        <v>1181</v>
      </c>
      <c r="C319" s="5" t="s">
        <v>1226</v>
      </c>
      <c r="D319" s="5" t="s">
        <v>1194</v>
      </c>
      <c r="E319" s="5" t="s">
        <v>1195</v>
      </c>
      <c r="F319" s="4" t="s">
        <v>36</v>
      </c>
      <c r="G319" s="4" t="s">
        <v>1185</v>
      </c>
      <c r="H319" s="6" t="s">
        <v>1186</v>
      </c>
      <c r="I319" s="5" t="s">
        <v>1232</v>
      </c>
      <c r="J319" s="4" t="n">
        <v>1.17</v>
      </c>
      <c r="K319" s="4"/>
      <c r="L319" s="4" t="s">
        <v>26</v>
      </c>
      <c r="M319" s="5"/>
      <c r="N319" s="4" t="s">
        <v>27</v>
      </c>
      <c r="O319" s="5" t="s">
        <v>1228</v>
      </c>
    </row>
    <row r="320" customFormat="false" ht="60" hidden="false" customHeight="true" outlineLevel="0" collapsed="false">
      <c r="A320" s="7" t="s">
        <v>1233</v>
      </c>
      <c r="B320" s="8" t="s">
        <v>1181</v>
      </c>
      <c r="C320" s="8" t="s">
        <v>1226</v>
      </c>
      <c r="D320" s="8" t="s">
        <v>1198</v>
      </c>
      <c r="E320" s="8" t="s">
        <v>1199</v>
      </c>
      <c r="F320" s="7" t="s">
        <v>36</v>
      </c>
      <c r="G320" s="7" t="s">
        <v>1185</v>
      </c>
      <c r="H320" s="9" t="s">
        <v>1186</v>
      </c>
      <c r="I320" s="8" t="s">
        <v>1234</v>
      </c>
      <c r="J320" s="7" t="n">
        <v>3.14</v>
      </c>
      <c r="K320" s="7"/>
      <c r="L320" s="7" t="s">
        <v>26</v>
      </c>
      <c r="M320" s="8"/>
      <c r="N320" s="7" t="s">
        <v>27</v>
      </c>
      <c r="O320" s="8" t="s">
        <v>1228</v>
      </c>
    </row>
    <row r="321" customFormat="false" ht="60" hidden="false" customHeight="true" outlineLevel="0" collapsed="false">
      <c r="A321" s="4" t="s">
        <v>1235</v>
      </c>
      <c r="B321" s="5" t="s">
        <v>1181</v>
      </c>
      <c r="C321" s="5" t="s">
        <v>1226</v>
      </c>
      <c r="D321" s="5" t="s">
        <v>1202</v>
      </c>
      <c r="E321" s="5" t="s">
        <v>1203</v>
      </c>
      <c r="F321" s="4" t="s">
        <v>36</v>
      </c>
      <c r="G321" s="4" t="s">
        <v>1185</v>
      </c>
      <c r="H321" s="6" t="s">
        <v>1186</v>
      </c>
      <c r="I321" s="5" t="s">
        <v>1236</v>
      </c>
      <c r="J321" s="4" t="n">
        <v>1.34</v>
      </c>
      <c r="K321" s="4"/>
      <c r="L321" s="4" t="s">
        <v>26</v>
      </c>
      <c r="M321" s="5"/>
      <c r="N321" s="4" t="s">
        <v>27</v>
      </c>
      <c r="O321" s="5" t="s">
        <v>1228</v>
      </c>
    </row>
    <row r="322" customFormat="false" ht="60" hidden="false" customHeight="true" outlineLevel="0" collapsed="false">
      <c r="A322" s="7" t="s">
        <v>1237</v>
      </c>
      <c r="B322" s="8" t="s">
        <v>1181</v>
      </c>
      <c r="C322" s="8" t="s">
        <v>1226</v>
      </c>
      <c r="D322" s="8" t="s">
        <v>1206</v>
      </c>
      <c r="E322" s="8" t="s">
        <v>1207</v>
      </c>
      <c r="F322" s="7" t="s">
        <v>67</v>
      </c>
      <c r="G322" s="7" t="s">
        <v>1185</v>
      </c>
      <c r="H322" s="9" t="s">
        <v>1186</v>
      </c>
      <c r="I322" s="8" t="s">
        <v>1238</v>
      </c>
      <c r="J322" s="7" t="n">
        <v>0.9</v>
      </c>
      <c r="K322" s="7"/>
      <c r="L322" s="7" t="s">
        <v>26</v>
      </c>
      <c r="M322" s="8"/>
      <c r="N322" s="7" t="s">
        <v>27</v>
      </c>
      <c r="O322" s="8" t="s">
        <v>1228</v>
      </c>
    </row>
    <row r="323" customFormat="false" ht="60" hidden="false" customHeight="true" outlineLevel="0" collapsed="false">
      <c r="A323" s="4" t="s">
        <v>1239</v>
      </c>
      <c r="B323" s="5" t="s">
        <v>1181</v>
      </c>
      <c r="C323" s="5" t="s">
        <v>1226</v>
      </c>
      <c r="D323" s="5" t="s">
        <v>1210</v>
      </c>
      <c r="E323" s="5" t="s">
        <v>1211</v>
      </c>
      <c r="F323" s="4" t="s">
        <v>53</v>
      </c>
      <c r="G323" s="4" t="s">
        <v>1185</v>
      </c>
      <c r="H323" s="6" t="s">
        <v>1186</v>
      </c>
      <c r="I323" s="5" t="s">
        <v>1240</v>
      </c>
      <c r="J323" s="4" t="n">
        <v>1.52</v>
      </c>
      <c r="K323" s="4"/>
      <c r="L323" s="4" t="s">
        <v>26</v>
      </c>
      <c r="M323" s="5"/>
      <c r="N323" s="4" t="s">
        <v>27</v>
      </c>
      <c r="O323" s="5" t="s">
        <v>1228</v>
      </c>
    </row>
    <row r="324" customFormat="false" ht="60" hidden="false" customHeight="true" outlineLevel="0" collapsed="false">
      <c r="A324" s="7" t="s">
        <v>1241</v>
      </c>
      <c r="B324" s="8" t="s">
        <v>1181</v>
      </c>
      <c r="C324" s="8" t="s">
        <v>1226</v>
      </c>
      <c r="D324" s="8" t="s">
        <v>1214</v>
      </c>
      <c r="E324" s="8" t="s">
        <v>1215</v>
      </c>
      <c r="F324" s="7" t="s">
        <v>58</v>
      </c>
      <c r="G324" s="7" t="s">
        <v>1185</v>
      </c>
      <c r="H324" s="9" t="s">
        <v>1186</v>
      </c>
      <c r="I324" s="8" t="s">
        <v>1242</v>
      </c>
      <c r="J324" s="7" t="n">
        <v>1.18</v>
      </c>
      <c r="K324" s="7"/>
      <c r="L324" s="7" t="s">
        <v>26</v>
      </c>
      <c r="M324" s="8"/>
      <c r="N324" s="7" t="s">
        <v>27</v>
      </c>
      <c r="O324" s="8" t="s">
        <v>1228</v>
      </c>
    </row>
    <row r="325" customFormat="false" ht="60" hidden="false" customHeight="true" outlineLevel="0" collapsed="false">
      <c r="A325" s="4" t="s">
        <v>1243</v>
      </c>
      <c r="B325" s="5" t="s">
        <v>1181</v>
      </c>
      <c r="C325" s="5" t="s">
        <v>1226</v>
      </c>
      <c r="D325" s="5" t="s">
        <v>1218</v>
      </c>
      <c r="E325" s="5" t="s">
        <v>1219</v>
      </c>
      <c r="F325" s="4" t="s">
        <v>67</v>
      </c>
      <c r="G325" s="4" t="s">
        <v>1185</v>
      </c>
      <c r="H325" s="6" t="s">
        <v>1186</v>
      </c>
      <c r="I325" s="5" t="s">
        <v>1244</v>
      </c>
      <c r="J325" s="4" t="n">
        <v>0.68</v>
      </c>
      <c r="K325" s="4"/>
      <c r="L325" s="4" t="s">
        <v>26</v>
      </c>
      <c r="M325" s="5"/>
      <c r="N325" s="4" t="s">
        <v>27</v>
      </c>
      <c r="O325" s="5" t="s">
        <v>1228</v>
      </c>
    </row>
    <row r="326" customFormat="false" ht="60" hidden="false" customHeight="true" outlineLevel="0" collapsed="false">
      <c r="A326" s="7" t="s">
        <v>1245</v>
      </c>
      <c r="B326" s="8" t="s">
        <v>1181</v>
      </c>
      <c r="C326" s="8" t="s">
        <v>1226</v>
      </c>
      <c r="D326" s="8" t="s">
        <v>1222</v>
      </c>
      <c r="E326" s="8" t="s">
        <v>1223</v>
      </c>
      <c r="F326" s="7" t="s">
        <v>76</v>
      </c>
      <c r="G326" s="7" t="s">
        <v>1185</v>
      </c>
      <c r="H326" s="9" t="s">
        <v>1186</v>
      </c>
      <c r="I326" s="8" t="s">
        <v>1246</v>
      </c>
      <c r="J326" s="7" t="n">
        <v>1.19</v>
      </c>
      <c r="K326" s="7"/>
      <c r="L326" s="7" t="s">
        <v>26</v>
      </c>
      <c r="M326" s="8"/>
      <c r="N326" s="7" t="s">
        <v>27</v>
      </c>
      <c r="O326" s="8" t="s">
        <v>1228</v>
      </c>
    </row>
    <row r="327" customFormat="false" ht="60" hidden="false" customHeight="true" outlineLevel="0" collapsed="false">
      <c r="A327" s="4" t="s">
        <v>1247</v>
      </c>
      <c r="B327" s="5" t="s">
        <v>1181</v>
      </c>
      <c r="C327" s="5" t="s">
        <v>1248</v>
      </c>
      <c r="D327" s="5" t="s">
        <v>1249</v>
      </c>
      <c r="E327" s="5" t="s">
        <v>1250</v>
      </c>
      <c r="F327" s="4" t="s">
        <v>22</v>
      </c>
      <c r="G327" s="4" t="s">
        <v>1185</v>
      </c>
      <c r="H327" s="6" t="s">
        <v>1186</v>
      </c>
      <c r="I327" s="5" t="s">
        <v>1251</v>
      </c>
      <c r="J327" s="4" t="n">
        <v>1.72</v>
      </c>
      <c r="K327" s="4"/>
      <c r="L327" s="4" t="s">
        <v>26</v>
      </c>
      <c r="M327" s="5"/>
      <c r="N327" s="4" t="s">
        <v>27</v>
      </c>
      <c r="O327" s="5" t="s">
        <v>1252</v>
      </c>
    </row>
    <row r="328" customFormat="false" ht="60" hidden="false" customHeight="true" outlineLevel="0" collapsed="false">
      <c r="A328" s="7" t="s">
        <v>1253</v>
      </c>
      <c r="B328" s="8" t="s">
        <v>1181</v>
      </c>
      <c r="C328" s="8" t="s">
        <v>1248</v>
      </c>
      <c r="D328" s="8" t="s">
        <v>1254</v>
      </c>
      <c r="E328" s="8" t="s">
        <v>1255</v>
      </c>
      <c r="F328" s="7" t="s">
        <v>22</v>
      </c>
      <c r="G328" s="7" t="s">
        <v>1185</v>
      </c>
      <c r="H328" s="9" t="s">
        <v>1186</v>
      </c>
      <c r="I328" s="8" t="s">
        <v>1256</v>
      </c>
      <c r="J328" s="7" t="n">
        <v>1.38</v>
      </c>
      <c r="K328" s="7"/>
      <c r="L328" s="7" t="s">
        <v>26</v>
      </c>
      <c r="M328" s="8"/>
      <c r="N328" s="7" t="s">
        <v>27</v>
      </c>
      <c r="O328" s="8" t="s">
        <v>1252</v>
      </c>
    </row>
    <row r="329" customFormat="false" ht="60" hidden="false" customHeight="true" outlineLevel="0" collapsed="false">
      <c r="A329" s="4" t="s">
        <v>1257</v>
      </c>
      <c r="B329" s="5" t="s">
        <v>1181</v>
      </c>
      <c r="C329" s="5" t="s">
        <v>1248</v>
      </c>
      <c r="D329" s="5" t="s">
        <v>1258</v>
      </c>
      <c r="E329" s="5" t="s">
        <v>1259</v>
      </c>
      <c r="F329" s="4" t="s">
        <v>36</v>
      </c>
      <c r="G329" s="4" t="s">
        <v>1185</v>
      </c>
      <c r="H329" s="6" t="s">
        <v>1186</v>
      </c>
      <c r="I329" s="5" t="s">
        <v>1260</v>
      </c>
      <c r="J329" s="4" t="n">
        <v>1.49</v>
      </c>
      <c r="K329" s="4"/>
      <c r="L329" s="4" t="s">
        <v>26</v>
      </c>
      <c r="M329" s="5"/>
      <c r="N329" s="4" t="s">
        <v>27</v>
      </c>
      <c r="O329" s="5" t="s">
        <v>1252</v>
      </c>
    </row>
    <row r="330" customFormat="false" ht="60" hidden="false" customHeight="true" outlineLevel="0" collapsed="false">
      <c r="A330" s="7" t="s">
        <v>1261</v>
      </c>
      <c r="B330" s="8" t="s">
        <v>1181</v>
      </c>
      <c r="C330" s="8" t="s">
        <v>1248</v>
      </c>
      <c r="D330" s="8" t="s">
        <v>1262</v>
      </c>
      <c r="E330" s="8" t="s">
        <v>1263</v>
      </c>
      <c r="F330" s="7" t="s">
        <v>36</v>
      </c>
      <c r="G330" s="7" t="s">
        <v>1185</v>
      </c>
      <c r="H330" s="9" t="s">
        <v>1186</v>
      </c>
      <c r="I330" s="8" t="s">
        <v>1264</v>
      </c>
      <c r="J330" s="7" t="n">
        <v>4.01</v>
      </c>
      <c r="K330" s="7"/>
      <c r="L330" s="7" t="s">
        <v>26</v>
      </c>
      <c r="M330" s="8"/>
      <c r="N330" s="7" t="s">
        <v>27</v>
      </c>
      <c r="O330" s="8" t="s">
        <v>1252</v>
      </c>
    </row>
    <row r="331" customFormat="false" ht="60" hidden="false" customHeight="true" outlineLevel="0" collapsed="false">
      <c r="A331" s="4" t="s">
        <v>1265</v>
      </c>
      <c r="B331" s="5" t="s">
        <v>1181</v>
      </c>
      <c r="C331" s="5" t="s">
        <v>1248</v>
      </c>
      <c r="D331" s="5" t="s">
        <v>1266</v>
      </c>
      <c r="E331" s="5" t="s">
        <v>1267</v>
      </c>
      <c r="F331" s="4" t="s">
        <v>36</v>
      </c>
      <c r="G331" s="4" t="s">
        <v>1185</v>
      </c>
      <c r="H331" s="6" t="s">
        <v>1186</v>
      </c>
      <c r="I331" s="5" t="s">
        <v>1268</v>
      </c>
      <c r="J331" s="4" t="n">
        <v>1.72</v>
      </c>
      <c r="K331" s="4"/>
      <c r="L331" s="4" t="s">
        <v>26</v>
      </c>
      <c r="M331" s="5"/>
      <c r="N331" s="4" t="s">
        <v>27</v>
      </c>
      <c r="O331" s="5" t="s">
        <v>1252</v>
      </c>
    </row>
    <row r="332" customFormat="false" ht="60" hidden="false" customHeight="true" outlineLevel="0" collapsed="false">
      <c r="A332" s="7" t="s">
        <v>1269</v>
      </c>
      <c r="B332" s="8" t="s">
        <v>1181</v>
      </c>
      <c r="C332" s="8" t="s">
        <v>1248</v>
      </c>
      <c r="D332" s="8" t="s">
        <v>1270</v>
      </c>
      <c r="E332" s="8" t="s">
        <v>1271</v>
      </c>
      <c r="F332" s="7" t="s">
        <v>67</v>
      </c>
      <c r="G332" s="7" t="s">
        <v>1185</v>
      </c>
      <c r="H332" s="9" t="s">
        <v>1186</v>
      </c>
      <c r="I332" s="8" t="s">
        <v>1272</v>
      </c>
      <c r="J332" s="7" t="n">
        <v>1.15</v>
      </c>
      <c r="K332" s="7"/>
      <c r="L332" s="7" t="s">
        <v>26</v>
      </c>
      <c r="M332" s="8"/>
      <c r="N332" s="7" t="s">
        <v>27</v>
      </c>
      <c r="O332" s="8" t="s">
        <v>1252</v>
      </c>
    </row>
    <row r="333" customFormat="false" ht="60" hidden="false" customHeight="true" outlineLevel="0" collapsed="false">
      <c r="A333" s="4" t="s">
        <v>1273</v>
      </c>
      <c r="B333" s="5" t="s">
        <v>1181</v>
      </c>
      <c r="C333" s="5" t="s">
        <v>1248</v>
      </c>
      <c r="D333" s="5" t="s">
        <v>1274</v>
      </c>
      <c r="E333" s="5" t="s">
        <v>1275</v>
      </c>
      <c r="F333" s="4" t="s">
        <v>53</v>
      </c>
      <c r="G333" s="4" t="s">
        <v>1185</v>
      </c>
      <c r="H333" s="6" t="s">
        <v>1186</v>
      </c>
      <c r="I333" s="5" t="s">
        <v>1276</v>
      </c>
      <c r="J333" s="4" t="n">
        <v>0.58</v>
      </c>
      <c r="K333" s="4"/>
      <c r="L333" s="4" t="s">
        <v>26</v>
      </c>
      <c r="M333" s="5"/>
      <c r="N333" s="4" t="s">
        <v>27</v>
      </c>
      <c r="O333" s="5" t="s">
        <v>1252</v>
      </c>
    </row>
    <row r="334" customFormat="false" ht="60" hidden="false" customHeight="true" outlineLevel="0" collapsed="false">
      <c r="A334" s="7" t="s">
        <v>1277</v>
      </c>
      <c r="B334" s="8" t="s">
        <v>1181</v>
      </c>
      <c r="C334" s="8" t="s">
        <v>1248</v>
      </c>
      <c r="D334" s="8" t="s">
        <v>1278</v>
      </c>
      <c r="E334" s="8" t="s">
        <v>1279</v>
      </c>
      <c r="F334" s="7" t="s">
        <v>58</v>
      </c>
      <c r="G334" s="7" t="s">
        <v>1185</v>
      </c>
      <c r="H334" s="9" t="s">
        <v>1186</v>
      </c>
      <c r="I334" s="8" t="s">
        <v>1280</v>
      </c>
      <c r="J334" s="7" t="n">
        <v>0.45</v>
      </c>
      <c r="K334" s="7"/>
      <c r="L334" s="7" t="s">
        <v>26</v>
      </c>
      <c r="M334" s="8"/>
      <c r="N334" s="7" t="s">
        <v>27</v>
      </c>
      <c r="O334" s="8" t="s">
        <v>1252</v>
      </c>
    </row>
    <row r="335" customFormat="false" ht="60" hidden="false" customHeight="true" outlineLevel="0" collapsed="false">
      <c r="A335" s="4" t="s">
        <v>1281</v>
      </c>
      <c r="B335" s="5" t="s">
        <v>1181</v>
      </c>
      <c r="C335" s="5" t="s">
        <v>1248</v>
      </c>
      <c r="D335" s="5" t="s">
        <v>1282</v>
      </c>
      <c r="E335" s="5" t="s">
        <v>1283</v>
      </c>
      <c r="F335" s="4" t="s">
        <v>67</v>
      </c>
      <c r="G335" s="4" t="s">
        <v>1185</v>
      </c>
      <c r="H335" s="6" t="s">
        <v>1186</v>
      </c>
      <c r="I335" s="5" t="s">
        <v>1284</v>
      </c>
      <c r="J335" s="4" t="n">
        <v>0.26</v>
      </c>
      <c r="K335" s="4"/>
      <c r="L335" s="4" t="s">
        <v>26</v>
      </c>
      <c r="M335" s="5"/>
      <c r="N335" s="4" t="s">
        <v>27</v>
      </c>
      <c r="O335" s="5" t="s">
        <v>1252</v>
      </c>
    </row>
    <row r="336" customFormat="false" ht="60" hidden="false" customHeight="true" outlineLevel="0" collapsed="false">
      <c r="A336" s="7" t="s">
        <v>1285</v>
      </c>
      <c r="B336" s="8" t="s">
        <v>1181</v>
      </c>
      <c r="C336" s="8" t="s">
        <v>1248</v>
      </c>
      <c r="D336" s="8" t="s">
        <v>1286</v>
      </c>
      <c r="E336" s="8" t="s">
        <v>1287</v>
      </c>
      <c r="F336" s="7" t="s">
        <v>76</v>
      </c>
      <c r="G336" s="7" t="s">
        <v>1185</v>
      </c>
      <c r="H336" s="9" t="s">
        <v>1186</v>
      </c>
      <c r="I336" s="8" t="s">
        <v>1288</v>
      </c>
      <c r="J336" s="7" t="n">
        <v>0.76</v>
      </c>
      <c r="K336" s="7"/>
      <c r="L336" s="7" t="s">
        <v>26</v>
      </c>
      <c r="M336" s="8"/>
      <c r="N336" s="7" t="s">
        <v>27</v>
      </c>
      <c r="O336" s="8" t="s">
        <v>1252</v>
      </c>
    </row>
    <row r="337" customFormat="false" ht="60" hidden="false" customHeight="true" outlineLevel="0" collapsed="false">
      <c r="A337" s="4" t="s">
        <v>1289</v>
      </c>
      <c r="B337" s="5" t="s">
        <v>1181</v>
      </c>
      <c r="C337" s="5" t="s">
        <v>1290</v>
      </c>
      <c r="D337" s="5" t="s">
        <v>441</v>
      </c>
      <c r="E337" s="5" t="s">
        <v>1291</v>
      </c>
      <c r="F337" s="4" t="s">
        <v>22</v>
      </c>
      <c r="G337" s="4" t="s">
        <v>1292</v>
      </c>
      <c r="H337" s="6" t="s">
        <v>1293</v>
      </c>
      <c r="I337" s="5" t="s">
        <v>1294</v>
      </c>
      <c r="J337" s="4" t="n">
        <v>1.03</v>
      </c>
      <c r="K337" s="4"/>
      <c r="L337" s="4" t="s">
        <v>253</v>
      </c>
      <c r="M337" s="5"/>
      <c r="N337" s="4" t="s">
        <v>27</v>
      </c>
      <c r="O337" s="5" t="s">
        <v>1295</v>
      </c>
    </row>
    <row r="338" customFormat="false" ht="60" hidden="false" customHeight="true" outlineLevel="0" collapsed="false">
      <c r="A338" s="7" t="s">
        <v>1296</v>
      </c>
      <c r="B338" s="8" t="s">
        <v>1181</v>
      </c>
      <c r="C338" s="8" t="s">
        <v>1290</v>
      </c>
      <c r="D338" s="8" t="s">
        <v>446</v>
      </c>
      <c r="E338" s="8" t="s">
        <v>1297</v>
      </c>
      <c r="F338" s="7" t="s">
        <v>22</v>
      </c>
      <c r="G338" s="7" t="s">
        <v>1292</v>
      </c>
      <c r="H338" s="9" t="s">
        <v>1293</v>
      </c>
      <c r="I338" s="8" t="s">
        <v>1298</v>
      </c>
      <c r="J338" s="7" t="n">
        <v>0.83</v>
      </c>
      <c r="K338" s="7"/>
      <c r="L338" s="7" t="s">
        <v>253</v>
      </c>
      <c r="M338" s="8"/>
      <c r="N338" s="7" t="s">
        <v>27</v>
      </c>
      <c r="O338" s="8" t="s">
        <v>1295</v>
      </c>
    </row>
    <row r="339" customFormat="false" ht="60" hidden="false" customHeight="true" outlineLevel="0" collapsed="false">
      <c r="A339" s="4" t="s">
        <v>1299</v>
      </c>
      <c r="B339" s="5" t="s">
        <v>1181</v>
      </c>
      <c r="C339" s="5" t="s">
        <v>1290</v>
      </c>
      <c r="D339" s="5" t="s">
        <v>450</v>
      </c>
      <c r="E339" s="5" t="s">
        <v>1300</v>
      </c>
      <c r="F339" s="4" t="s">
        <v>36</v>
      </c>
      <c r="G339" s="4" t="s">
        <v>1292</v>
      </c>
      <c r="H339" s="6" t="s">
        <v>1293</v>
      </c>
      <c r="I339" s="5" t="s">
        <v>1301</v>
      </c>
      <c r="J339" s="4" t="n">
        <v>0.89</v>
      </c>
      <c r="K339" s="4"/>
      <c r="L339" s="4" t="s">
        <v>253</v>
      </c>
      <c r="M339" s="5"/>
      <c r="N339" s="4" t="s">
        <v>27</v>
      </c>
      <c r="O339" s="5" t="s">
        <v>1295</v>
      </c>
    </row>
    <row r="340" customFormat="false" ht="60" hidden="false" customHeight="true" outlineLevel="0" collapsed="false">
      <c r="A340" s="7" t="s">
        <v>1302</v>
      </c>
      <c r="B340" s="8" t="s">
        <v>1181</v>
      </c>
      <c r="C340" s="8" t="s">
        <v>1290</v>
      </c>
      <c r="D340" s="8" t="s">
        <v>1303</v>
      </c>
      <c r="E340" s="8" t="s">
        <v>1304</v>
      </c>
      <c r="F340" s="7" t="s">
        <v>36</v>
      </c>
      <c r="G340" s="7" t="s">
        <v>1292</v>
      </c>
      <c r="H340" s="9" t="s">
        <v>1293</v>
      </c>
      <c r="I340" s="8" t="s">
        <v>1305</v>
      </c>
      <c r="J340" s="7" t="n">
        <v>2.41</v>
      </c>
      <c r="K340" s="7"/>
      <c r="L340" s="7" t="s">
        <v>253</v>
      </c>
      <c r="M340" s="8"/>
      <c r="N340" s="7" t="s">
        <v>27</v>
      </c>
      <c r="O340" s="8" t="s">
        <v>1295</v>
      </c>
    </row>
    <row r="341" customFormat="false" ht="60" hidden="false" customHeight="true" outlineLevel="0" collapsed="false">
      <c r="A341" s="4" t="s">
        <v>1306</v>
      </c>
      <c r="B341" s="5" t="s">
        <v>1181</v>
      </c>
      <c r="C341" s="5" t="s">
        <v>1290</v>
      </c>
      <c r="D341" s="5" t="s">
        <v>1307</v>
      </c>
      <c r="E341" s="5" t="s">
        <v>1308</v>
      </c>
      <c r="F341" s="4" t="s">
        <v>36</v>
      </c>
      <c r="G341" s="4" t="s">
        <v>1292</v>
      </c>
      <c r="H341" s="6" t="s">
        <v>1293</v>
      </c>
      <c r="I341" s="5" t="s">
        <v>1309</v>
      </c>
      <c r="J341" s="4" t="n">
        <v>1.03</v>
      </c>
      <c r="K341" s="4"/>
      <c r="L341" s="4" t="s">
        <v>253</v>
      </c>
      <c r="M341" s="5"/>
      <c r="N341" s="4" t="s">
        <v>27</v>
      </c>
      <c r="O341" s="5" t="s">
        <v>1295</v>
      </c>
    </row>
    <row r="342" customFormat="false" ht="60" hidden="false" customHeight="true" outlineLevel="0" collapsed="false">
      <c r="A342" s="7" t="s">
        <v>1310</v>
      </c>
      <c r="B342" s="8" t="s">
        <v>1181</v>
      </c>
      <c r="C342" s="8" t="s">
        <v>1290</v>
      </c>
      <c r="D342" s="8" t="s">
        <v>1311</v>
      </c>
      <c r="E342" s="8" t="s">
        <v>1312</v>
      </c>
      <c r="F342" s="7" t="s">
        <v>67</v>
      </c>
      <c r="G342" s="7" t="s">
        <v>1292</v>
      </c>
      <c r="H342" s="9" t="s">
        <v>1293</v>
      </c>
      <c r="I342" s="8" t="s">
        <v>1313</v>
      </c>
      <c r="J342" s="7" t="n">
        <v>0.69</v>
      </c>
      <c r="K342" s="7"/>
      <c r="L342" s="7" t="s">
        <v>253</v>
      </c>
      <c r="M342" s="8"/>
      <c r="N342" s="7" t="s">
        <v>27</v>
      </c>
      <c r="O342" s="8" t="s">
        <v>1295</v>
      </c>
    </row>
    <row r="343" customFormat="false" ht="60" hidden="false" customHeight="true" outlineLevel="0" collapsed="false">
      <c r="A343" s="4" t="s">
        <v>1314</v>
      </c>
      <c r="B343" s="5" t="s">
        <v>1181</v>
      </c>
      <c r="C343" s="5" t="s">
        <v>1290</v>
      </c>
      <c r="D343" s="5" t="s">
        <v>1315</v>
      </c>
      <c r="E343" s="5" t="s">
        <v>1316</v>
      </c>
      <c r="F343" s="4" t="s">
        <v>53</v>
      </c>
      <c r="G343" s="4" t="s">
        <v>1292</v>
      </c>
      <c r="H343" s="6" t="s">
        <v>1293</v>
      </c>
      <c r="I343" s="5" t="s">
        <v>1317</v>
      </c>
      <c r="J343" s="4" t="n">
        <v>0.35</v>
      </c>
      <c r="K343" s="4"/>
      <c r="L343" s="4" t="s">
        <v>253</v>
      </c>
      <c r="M343" s="5"/>
      <c r="N343" s="4" t="s">
        <v>27</v>
      </c>
      <c r="O343" s="5" t="s">
        <v>1295</v>
      </c>
    </row>
    <row r="344" customFormat="false" ht="60" hidden="false" customHeight="true" outlineLevel="0" collapsed="false">
      <c r="A344" s="7" t="s">
        <v>1318</v>
      </c>
      <c r="B344" s="8" t="s">
        <v>1181</v>
      </c>
      <c r="C344" s="8" t="s">
        <v>1290</v>
      </c>
      <c r="D344" s="8" t="s">
        <v>1319</v>
      </c>
      <c r="E344" s="8" t="s">
        <v>1320</v>
      </c>
      <c r="F344" s="7" t="s">
        <v>58</v>
      </c>
      <c r="G344" s="7" t="s">
        <v>1292</v>
      </c>
      <c r="H344" s="9" t="s">
        <v>1293</v>
      </c>
      <c r="I344" s="8" t="s">
        <v>1321</v>
      </c>
      <c r="J344" s="7" t="n">
        <v>0.27</v>
      </c>
      <c r="K344" s="7"/>
      <c r="L344" s="7" t="s">
        <v>253</v>
      </c>
      <c r="M344" s="8"/>
      <c r="N344" s="7" t="s">
        <v>27</v>
      </c>
      <c r="O344" s="8" t="s">
        <v>1295</v>
      </c>
    </row>
    <row r="345" customFormat="false" ht="60" hidden="false" customHeight="true" outlineLevel="0" collapsed="false">
      <c r="A345" s="4" t="s">
        <v>1322</v>
      </c>
      <c r="B345" s="5" t="s">
        <v>1181</v>
      </c>
      <c r="C345" s="5" t="s">
        <v>1290</v>
      </c>
      <c r="D345" s="5" t="s">
        <v>1323</v>
      </c>
      <c r="E345" s="5" t="s">
        <v>1324</v>
      </c>
      <c r="F345" s="4" t="s">
        <v>67</v>
      </c>
      <c r="G345" s="4" t="s">
        <v>1292</v>
      </c>
      <c r="H345" s="6" t="s">
        <v>1293</v>
      </c>
      <c r="I345" s="5" t="s">
        <v>1325</v>
      </c>
      <c r="J345" s="4" t="n">
        <v>0.16</v>
      </c>
      <c r="K345" s="4"/>
      <c r="L345" s="4" t="s">
        <v>253</v>
      </c>
      <c r="M345" s="5"/>
      <c r="N345" s="4" t="s">
        <v>27</v>
      </c>
      <c r="O345" s="5" t="s">
        <v>1295</v>
      </c>
    </row>
    <row r="346" customFormat="false" ht="60" hidden="false" customHeight="true" outlineLevel="0" collapsed="false">
      <c r="A346" s="7" t="s">
        <v>1326</v>
      </c>
      <c r="B346" s="8" t="s">
        <v>1181</v>
      </c>
      <c r="C346" s="8" t="s">
        <v>1290</v>
      </c>
      <c r="D346" s="8" t="s">
        <v>1327</v>
      </c>
      <c r="E346" s="8" t="s">
        <v>1328</v>
      </c>
      <c r="F346" s="7" t="s">
        <v>76</v>
      </c>
      <c r="G346" s="7" t="s">
        <v>1292</v>
      </c>
      <c r="H346" s="9" t="s">
        <v>1293</v>
      </c>
      <c r="I346" s="8" t="s">
        <v>1329</v>
      </c>
      <c r="J346" s="7" t="n">
        <v>0.45</v>
      </c>
      <c r="K346" s="7"/>
      <c r="L346" s="7" t="s">
        <v>253</v>
      </c>
      <c r="M346" s="8"/>
      <c r="N346" s="7" t="s">
        <v>27</v>
      </c>
      <c r="O346" s="8" t="s">
        <v>1295</v>
      </c>
    </row>
    <row r="347" customFormat="false" ht="60" hidden="false" customHeight="true" outlineLevel="0" collapsed="false">
      <c r="A347" s="4" t="s">
        <v>1330</v>
      </c>
      <c r="B347" s="5" t="s">
        <v>1181</v>
      </c>
      <c r="C347" s="5" t="s">
        <v>1331</v>
      </c>
      <c r="D347" s="5" t="s">
        <v>1183</v>
      </c>
      <c r="E347" s="5" t="s">
        <v>1184</v>
      </c>
      <c r="F347" s="4" t="s">
        <v>22</v>
      </c>
      <c r="G347" s="4" t="s">
        <v>1292</v>
      </c>
      <c r="H347" s="6" t="s">
        <v>1293</v>
      </c>
      <c r="I347" s="5" t="s">
        <v>1332</v>
      </c>
      <c r="J347" s="4" t="n">
        <v>1.03</v>
      </c>
      <c r="K347" s="4"/>
      <c r="L347" s="4" t="s">
        <v>26</v>
      </c>
      <c r="M347" s="5"/>
      <c r="N347" s="4" t="s">
        <v>27</v>
      </c>
      <c r="O347" s="5" t="s">
        <v>1333</v>
      </c>
    </row>
    <row r="348" customFormat="false" ht="60" hidden="false" customHeight="true" outlineLevel="0" collapsed="false">
      <c r="A348" s="7" t="s">
        <v>1334</v>
      </c>
      <c r="B348" s="8" t="s">
        <v>1181</v>
      </c>
      <c r="C348" s="8" t="s">
        <v>1331</v>
      </c>
      <c r="D348" s="8" t="s">
        <v>1190</v>
      </c>
      <c r="E348" s="8" t="s">
        <v>1191</v>
      </c>
      <c r="F348" s="7" t="s">
        <v>22</v>
      </c>
      <c r="G348" s="7" t="s">
        <v>1292</v>
      </c>
      <c r="H348" s="9" t="s">
        <v>1293</v>
      </c>
      <c r="I348" s="8" t="s">
        <v>1335</v>
      </c>
      <c r="J348" s="7" t="n">
        <v>0.83</v>
      </c>
      <c r="K348" s="7"/>
      <c r="L348" s="7" t="s">
        <v>26</v>
      </c>
      <c r="M348" s="8"/>
      <c r="N348" s="7" t="s">
        <v>27</v>
      </c>
      <c r="O348" s="8" t="s">
        <v>1333</v>
      </c>
    </row>
    <row r="349" customFormat="false" ht="60" hidden="false" customHeight="true" outlineLevel="0" collapsed="false">
      <c r="A349" s="4" t="s">
        <v>1336</v>
      </c>
      <c r="B349" s="5" t="s">
        <v>1181</v>
      </c>
      <c r="C349" s="5" t="s">
        <v>1331</v>
      </c>
      <c r="D349" s="5" t="s">
        <v>1194</v>
      </c>
      <c r="E349" s="5" t="s">
        <v>1195</v>
      </c>
      <c r="F349" s="4" t="s">
        <v>36</v>
      </c>
      <c r="G349" s="4" t="s">
        <v>1292</v>
      </c>
      <c r="H349" s="6" t="s">
        <v>1293</v>
      </c>
      <c r="I349" s="5" t="s">
        <v>1337</v>
      </c>
      <c r="J349" s="4" t="n">
        <v>0.89</v>
      </c>
      <c r="K349" s="4"/>
      <c r="L349" s="4" t="s">
        <v>26</v>
      </c>
      <c r="M349" s="5"/>
      <c r="N349" s="4" t="s">
        <v>27</v>
      </c>
      <c r="O349" s="5" t="s">
        <v>1333</v>
      </c>
    </row>
    <row r="350" customFormat="false" ht="60" hidden="false" customHeight="true" outlineLevel="0" collapsed="false">
      <c r="A350" s="7" t="s">
        <v>1338</v>
      </c>
      <c r="B350" s="8" t="s">
        <v>1181</v>
      </c>
      <c r="C350" s="8" t="s">
        <v>1331</v>
      </c>
      <c r="D350" s="8" t="s">
        <v>1198</v>
      </c>
      <c r="E350" s="8" t="s">
        <v>1199</v>
      </c>
      <c r="F350" s="7" t="s">
        <v>36</v>
      </c>
      <c r="G350" s="7" t="s">
        <v>1292</v>
      </c>
      <c r="H350" s="9" t="s">
        <v>1293</v>
      </c>
      <c r="I350" s="8" t="s">
        <v>1339</v>
      </c>
      <c r="J350" s="7" t="n">
        <v>2.41</v>
      </c>
      <c r="K350" s="7"/>
      <c r="L350" s="7" t="s">
        <v>26</v>
      </c>
      <c r="M350" s="8"/>
      <c r="N350" s="7" t="s">
        <v>27</v>
      </c>
      <c r="O350" s="8" t="s">
        <v>1333</v>
      </c>
    </row>
    <row r="351" customFormat="false" ht="60" hidden="false" customHeight="true" outlineLevel="0" collapsed="false">
      <c r="A351" s="4" t="s">
        <v>1340</v>
      </c>
      <c r="B351" s="5" t="s">
        <v>1181</v>
      </c>
      <c r="C351" s="5" t="s">
        <v>1331</v>
      </c>
      <c r="D351" s="5" t="s">
        <v>1202</v>
      </c>
      <c r="E351" s="5" t="s">
        <v>1203</v>
      </c>
      <c r="F351" s="4" t="s">
        <v>36</v>
      </c>
      <c r="G351" s="4" t="s">
        <v>1292</v>
      </c>
      <c r="H351" s="6" t="s">
        <v>1293</v>
      </c>
      <c r="I351" s="5" t="s">
        <v>1341</v>
      </c>
      <c r="J351" s="4" t="n">
        <v>1.03</v>
      </c>
      <c r="K351" s="4"/>
      <c r="L351" s="4" t="s">
        <v>26</v>
      </c>
      <c r="M351" s="5"/>
      <c r="N351" s="4" t="s">
        <v>27</v>
      </c>
      <c r="O351" s="5" t="s">
        <v>1333</v>
      </c>
    </row>
    <row r="352" customFormat="false" ht="60" hidden="false" customHeight="true" outlineLevel="0" collapsed="false">
      <c r="A352" s="7" t="s">
        <v>1342</v>
      </c>
      <c r="B352" s="8" t="s">
        <v>1181</v>
      </c>
      <c r="C352" s="8" t="s">
        <v>1331</v>
      </c>
      <c r="D352" s="8" t="s">
        <v>1206</v>
      </c>
      <c r="E352" s="8" t="s">
        <v>1207</v>
      </c>
      <c r="F352" s="7" t="s">
        <v>67</v>
      </c>
      <c r="G352" s="7" t="s">
        <v>1292</v>
      </c>
      <c r="H352" s="9" t="s">
        <v>1293</v>
      </c>
      <c r="I352" s="8" t="s">
        <v>1343</v>
      </c>
      <c r="J352" s="7" t="n">
        <v>0.69</v>
      </c>
      <c r="K352" s="7"/>
      <c r="L352" s="7" t="s">
        <v>26</v>
      </c>
      <c r="M352" s="8"/>
      <c r="N352" s="7" t="s">
        <v>27</v>
      </c>
      <c r="O352" s="8" t="s">
        <v>1333</v>
      </c>
    </row>
    <row r="353" customFormat="false" ht="60" hidden="false" customHeight="true" outlineLevel="0" collapsed="false">
      <c r="A353" s="4" t="s">
        <v>1344</v>
      </c>
      <c r="B353" s="5" t="s">
        <v>1181</v>
      </c>
      <c r="C353" s="5" t="s">
        <v>1331</v>
      </c>
      <c r="D353" s="5" t="s">
        <v>1210</v>
      </c>
      <c r="E353" s="5" t="s">
        <v>1211</v>
      </c>
      <c r="F353" s="4" t="s">
        <v>53</v>
      </c>
      <c r="G353" s="4" t="s">
        <v>1292</v>
      </c>
      <c r="H353" s="6" t="s">
        <v>1293</v>
      </c>
      <c r="I353" s="5" t="s">
        <v>1345</v>
      </c>
      <c r="J353" s="4" t="n">
        <v>0.35</v>
      </c>
      <c r="K353" s="4"/>
      <c r="L353" s="4" t="s">
        <v>26</v>
      </c>
      <c r="M353" s="5"/>
      <c r="N353" s="4" t="s">
        <v>27</v>
      </c>
      <c r="O353" s="5" t="s">
        <v>1333</v>
      </c>
    </row>
    <row r="354" customFormat="false" ht="60" hidden="false" customHeight="true" outlineLevel="0" collapsed="false">
      <c r="A354" s="7" t="s">
        <v>1346</v>
      </c>
      <c r="B354" s="8" t="s">
        <v>1181</v>
      </c>
      <c r="C354" s="8" t="s">
        <v>1331</v>
      </c>
      <c r="D354" s="8" t="s">
        <v>1214</v>
      </c>
      <c r="E354" s="8" t="s">
        <v>1215</v>
      </c>
      <c r="F354" s="7" t="s">
        <v>58</v>
      </c>
      <c r="G354" s="7" t="s">
        <v>1292</v>
      </c>
      <c r="H354" s="9" t="s">
        <v>1293</v>
      </c>
      <c r="I354" s="8" t="s">
        <v>1347</v>
      </c>
      <c r="J354" s="7" t="n">
        <v>0.27</v>
      </c>
      <c r="K354" s="7"/>
      <c r="L354" s="7" t="s">
        <v>26</v>
      </c>
      <c r="M354" s="8"/>
      <c r="N354" s="7" t="s">
        <v>27</v>
      </c>
      <c r="O354" s="8" t="s">
        <v>1333</v>
      </c>
    </row>
    <row r="355" customFormat="false" ht="60" hidden="false" customHeight="true" outlineLevel="0" collapsed="false">
      <c r="A355" s="4" t="s">
        <v>1348</v>
      </c>
      <c r="B355" s="5" t="s">
        <v>1181</v>
      </c>
      <c r="C355" s="5" t="s">
        <v>1331</v>
      </c>
      <c r="D355" s="5" t="s">
        <v>1218</v>
      </c>
      <c r="E355" s="5" t="s">
        <v>1219</v>
      </c>
      <c r="F355" s="4" t="s">
        <v>67</v>
      </c>
      <c r="G355" s="4" t="s">
        <v>1292</v>
      </c>
      <c r="H355" s="6" t="s">
        <v>1293</v>
      </c>
      <c r="I355" s="5" t="s">
        <v>1349</v>
      </c>
      <c r="J355" s="4" t="n">
        <v>0.16</v>
      </c>
      <c r="K355" s="4"/>
      <c r="L355" s="4" t="s">
        <v>26</v>
      </c>
      <c r="M355" s="5"/>
      <c r="N355" s="4" t="s">
        <v>27</v>
      </c>
      <c r="O355" s="5" t="s">
        <v>1333</v>
      </c>
    </row>
    <row r="356" customFormat="false" ht="60" hidden="false" customHeight="true" outlineLevel="0" collapsed="false">
      <c r="A356" s="7" t="s">
        <v>1350</v>
      </c>
      <c r="B356" s="8" t="s">
        <v>1181</v>
      </c>
      <c r="C356" s="8" t="s">
        <v>1331</v>
      </c>
      <c r="D356" s="8" t="s">
        <v>1222</v>
      </c>
      <c r="E356" s="8" t="s">
        <v>1223</v>
      </c>
      <c r="F356" s="7" t="s">
        <v>76</v>
      </c>
      <c r="G356" s="7" t="s">
        <v>1292</v>
      </c>
      <c r="H356" s="9" t="s">
        <v>1293</v>
      </c>
      <c r="I356" s="8" t="s">
        <v>1351</v>
      </c>
      <c r="J356" s="7" t="n">
        <v>0.45</v>
      </c>
      <c r="K356" s="7"/>
      <c r="L356" s="7" t="s">
        <v>26</v>
      </c>
      <c r="M356" s="8"/>
      <c r="N356" s="7" t="s">
        <v>27</v>
      </c>
      <c r="O356" s="8" t="s">
        <v>1333</v>
      </c>
    </row>
    <row r="357" customFormat="false" ht="60" hidden="false" customHeight="true" outlineLevel="0" collapsed="false">
      <c r="A357" s="4" t="s">
        <v>1352</v>
      </c>
      <c r="B357" s="5" t="s">
        <v>1181</v>
      </c>
      <c r="C357" s="5" t="s">
        <v>1353</v>
      </c>
      <c r="D357" s="5" t="s">
        <v>1354</v>
      </c>
      <c r="E357" s="5" t="s">
        <v>1355</v>
      </c>
      <c r="F357" s="4" t="s">
        <v>22</v>
      </c>
      <c r="G357" s="4" t="s">
        <v>1292</v>
      </c>
      <c r="H357" s="6" t="s">
        <v>1293</v>
      </c>
      <c r="I357" s="5" t="s">
        <v>1356</v>
      </c>
      <c r="J357" s="4" t="n">
        <v>0.69</v>
      </c>
      <c r="K357" s="4"/>
      <c r="L357" s="4" t="s">
        <v>1357</v>
      </c>
      <c r="M357" s="5"/>
      <c r="N357" s="4" t="s">
        <v>27</v>
      </c>
      <c r="O357" s="5" t="s">
        <v>1358</v>
      </c>
    </row>
    <row r="358" customFormat="false" ht="60" hidden="false" customHeight="true" outlineLevel="0" collapsed="false">
      <c r="A358" s="7" t="s">
        <v>1359</v>
      </c>
      <c r="B358" s="8" t="s">
        <v>1181</v>
      </c>
      <c r="C358" s="8" t="s">
        <v>1353</v>
      </c>
      <c r="D358" s="8" t="s">
        <v>1360</v>
      </c>
      <c r="E358" s="8" t="s">
        <v>1361</v>
      </c>
      <c r="F358" s="7" t="s">
        <v>22</v>
      </c>
      <c r="G358" s="7" t="s">
        <v>1292</v>
      </c>
      <c r="H358" s="9" t="s">
        <v>1293</v>
      </c>
      <c r="I358" s="8" t="s">
        <v>1362</v>
      </c>
      <c r="J358" s="7" t="n">
        <v>0.55</v>
      </c>
      <c r="K358" s="7"/>
      <c r="L358" s="7" t="s">
        <v>1357</v>
      </c>
      <c r="M358" s="8"/>
      <c r="N358" s="7" t="s">
        <v>27</v>
      </c>
      <c r="O358" s="8" t="s">
        <v>1358</v>
      </c>
    </row>
    <row r="359" customFormat="false" ht="60" hidden="false" customHeight="true" outlineLevel="0" collapsed="false">
      <c r="A359" s="4" t="s">
        <v>1363</v>
      </c>
      <c r="B359" s="5" t="s">
        <v>1181</v>
      </c>
      <c r="C359" s="5" t="s">
        <v>1353</v>
      </c>
      <c r="D359" s="5" t="s">
        <v>1364</v>
      </c>
      <c r="E359" s="5" t="s">
        <v>1365</v>
      </c>
      <c r="F359" s="4" t="s">
        <v>36</v>
      </c>
      <c r="G359" s="4" t="s">
        <v>1292</v>
      </c>
      <c r="H359" s="6" t="s">
        <v>1293</v>
      </c>
      <c r="I359" s="5" t="s">
        <v>1366</v>
      </c>
      <c r="J359" s="4" t="n">
        <v>0.6</v>
      </c>
      <c r="K359" s="4"/>
      <c r="L359" s="4" t="s">
        <v>1357</v>
      </c>
      <c r="M359" s="5"/>
      <c r="N359" s="4" t="s">
        <v>27</v>
      </c>
      <c r="O359" s="5" t="s">
        <v>1358</v>
      </c>
    </row>
    <row r="360" customFormat="false" ht="60" hidden="false" customHeight="true" outlineLevel="0" collapsed="false">
      <c r="A360" s="7" t="s">
        <v>1367</v>
      </c>
      <c r="B360" s="8" t="s">
        <v>1181</v>
      </c>
      <c r="C360" s="8" t="s">
        <v>1353</v>
      </c>
      <c r="D360" s="8" t="s">
        <v>1368</v>
      </c>
      <c r="E360" s="8" t="s">
        <v>1369</v>
      </c>
      <c r="F360" s="7" t="s">
        <v>36</v>
      </c>
      <c r="G360" s="7" t="s">
        <v>1292</v>
      </c>
      <c r="H360" s="9" t="s">
        <v>1293</v>
      </c>
      <c r="I360" s="8" t="s">
        <v>1370</v>
      </c>
      <c r="J360" s="7" t="n">
        <v>1.6</v>
      </c>
      <c r="K360" s="7"/>
      <c r="L360" s="7" t="s">
        <v>1357</v>
      </c>
      <c r="M360" s="8"/>
      <c r="N360" s="7" t="s">
        <v>27</v>
      </c>
      <c r="O360" s="8" t="s">
        <v>1358</v>
      </c>
    </row>
    <row r="361" customFormat="false" ht="60" hidden="false" customHeight="true" outlineLevel="0" collapsed="false">
      <c r="A361" s="4" t="s">
        <v>1371</v>
      </c>
      <c r="B361" s="5" t="s">
        <v>1181</v>
      </c>
      <c r="C361" s="5" t="s">
        <v>1353</v>
      </c>
      <c r="D361" s="5" t="s">
        <v>1372</v>
      </c>
      <c r="E361" s="5" t="s">
        <v>1373</v>
      </c>
      <c r="F361" s="4" t="s">
        <v>36</v>
      </c>
      <c r="G361" s="4" t="s">
        <v>1292</v>
      </c>
      <c r="H361" s="6" t="s">
        <v>1293</v>
      </c>
      <c r="I361" s="5" t="s">
        <v>1374</v>
      </c>
      <c r="J361" s="4" t="n">
        <v>0.69</v>
      </c>
      <c r="K361" s="4"/>
      <c r="L361" s="4" t="s">
        <v>1357</v>
      </c>
      <c r="M361" s="5"/>
      <c r="N361" s="4" t="s">
        <v>27</v>
      </c>
      <c r="O361" s="5" t="s">
        <v>1358</v>
      </c>
    </row>
    <row r="362" customFormat="false" ht="60" hidden="false" customHeight="true" outlineLevel="0" collapsed="false">
      <c r="A362" s="7" t="s">
        <v>1375</v>
      </c>
      <c r="B362" s="8" t="s">
        <v>1181</v>
      </c>
      <c r="C362" s="8" t="s">
        <v>1353</v>
      </c>
      <c r="D362" s="8" t="s">
        <v>1376</v>
      </c>
      <c r="E362" s="8" t="s">
        <v>1377</v>
      </c>
      <c r="F362" s="7" t="s">
        <v>67</v>
      </c>
      <c r="G362" s="7" t="s">
        <v>1292</v>
      </c>
      <c r="H362" s="9" t="s">
        <v>1293</v>
      </c>
      <c r="I362" s="8" t="s">
        <v>1378</v>
      </c>
      <c r="J362" s="7" t="n">
        <v>0.46</v>
      </c>
      <c r="K362" s="7"/>
      <c r="L362" s="7" t="s">
        <v>1357</v>
      </c>
      <c r="M362" s="8"/>
      <c r="N362" s="7" t="s">
        <v>27</v>
      </c>
      <c r="O362" s="8" t="s">
        <v>1358</v>
      </c>
    </row>
    <row r="363" customFormat="false" ht="60" hidden="false" customHeight="true" outlineLevel="0" collapsed="false">
      <c r="A363" s="4" t="s">
        <v>1379</v>
      </c>
      <c r="B363" s="5" t="s">
        <v>1181</v>
      </c>
      <c r="C363" s="5" t="s">
        <v>1353</v>
      </c>
      <c r="D363" s="5" t="s">
        <v>1380</v>
      </c>
      <c r="E363" s="5" t="s">
        <v>1381</v>
      </c>
      <c r="F363" s="4" t="s">
        <v>53</v>
      </c>
      <c r="G363" s="4" t="s">
        <v>1292</v>
      </c>
      <c r="H363" s="6" t="s">
        <v>1293</v>
      </c>
      <c r="I363" s="5" t="s">
        <v>1382</v>
      </c>
      <c r="J363" s="4" t="n">
        <v>0.23</v>
      </c>
      <c r="K363" s="4"/>
      <c r="L363" s="4" t="s">
        <v>1357</v>
      </c>
      <c r="M363" s="5"/>
      <c r="N363" s="4" t="s">
        <v>27</v>
      </c>
      <c r="O363" s="5" t="s">
        <v>1358</v>
      </c>
    </row>
    <row r="364" customFormat="false" ht="60" hidden="false" customHeight="true" outlineLevel="0" collapsed="false">
      <c r="A364" s="7" t="s">
        <v>1383</v>
      </c>
      <c r="B364" s="8" t="s">
        <v>1181</v>
      </c>
      <c r="C364" s="8" t="s">
        <v>1353</v>
      </c>
      <c r="D364" s="8" t="s">
        <v>1384</v>
      </c>
      <c r="E364" s="8" t="s">
        <v>1385</v>
      </c>
      <c r="F364" s="7" t="s">
        <v>58</v>
      </c>
      <c r="G364" s="7" t="s">
        <v>1292</v>
      </c>
      <c r="H364" s="9" t="s">
        <v>1293</v>
      </c>
      <c r="I364" s="8" t="s">
        <v>1386</v>
      </c>
      <c r="J364" s="7" t="n">
        <v>0.18</v>
      </c>
      <c r="K364" s="7"/>
      <c r="L364" s="7" t="s">
        <v>1357</v>
      </c>
      <c r="M364" s="8"/>
      <c r="N364" s="7" t="s">
        <v>27</v>
      </c>
      <c r="O364" s="8" t="s">
        <v>1358</v>
      </c>
    </row>
    <row r="365" customFormat="false" ht="60" hidden="false" customHeight="true" outlineLevel="0" collapsed="false">
      <c r="A365" s="4" t="s">
        <v>1387</v>
      </c>
      <c r="B365" s="5" t="s">
        <v>1181</v>
      </c>
      <c r="C365" s="5" t="s">
        <v>1353</v>
      </c>
      <c r="D365" s="5" t="s">
        <v>1388</v>
      </c>
      <c r="E365" s="5" t="s">
        <v>1389</v>
      </c>
      <c r="F365" s="4" t="s">
        <v>67</v>
      </c>
      <c r="G365" s="4" t="s">
        <v>1292</v>
      </c>
      <c r="H365" s="6" t="s">
        <v>1293</v>
      </c>
      <c r="I365" s="5" t="s">
        <v>1390</v>
      </c>
      <c r="J365" s="4" t="n">
        <v>0.1</v>
      </c>
      <c r="K365" s="4"/>
      <c r="L365" s="4" t="s">
        <v>1357</v>
      </c>
      <c r="M365" s="5"/>
      <c r="N365" s="4" t="s">
        <v>27</v>
      </c>
      <c r="O365" s="5" t="s">
        <v>1358</v>
      </c>
    </row>
    <row r="366" customFormat="false" ht="60" hidden="false" customHeight="true" outlineLevel="0" collapsed="false">
      <c r="A366" s="7" t="s">
        <v>1391</v>
      </c>
      <c r="B366" s="8" t="s">
        <v>1181</v>
      </c>
      <c r="C366" s="8" t="s">
        <v>1353</v>
      </c>
      <c r="D366" s="8" t="s">
        <v>1392</v>
      </c>
      <c r="E366" s="8" t="s">
        <v>1393</v>
      </c>
      <c r="F366" s="7" t="s">
        <v>76</v>
      </c>
      <c r="G366" s="7" t="s">
        <v>1292</v>
      </c>
      <c r="H366" s="9" t="s">
        <v>1293</v>
      </c>
      <c r="I366" s="8" t="s">
        <v>1394</v>
      </c>
      <c r="J366" s="7" t="n">
        <v>0.3</v>
      </c>
      <c r="K366" s="7"/>
      <c r="L366" s="7" t="s">
        <v>1357</v>
      </c>
      <c r="M366" s="8"/>
      <c r="N366" s="7" t="s">
        <v>27</v>
      </c>
      <c r="O366" s="8" t="s">
        <v>1358</v>
      </c>
    </row>
    <row r="367" customFormat="false" ht="60" hidden="false" customHeight="true" outlineLevel="0" collapsed="false">
      <c r="A367" s="4" t="s">
        <v>1395</v>
      </c>
      <c r="B367" s="5" t="s">
        <v>1396</v>
      </c>
      <c r="C367" s="5" t="s">
        <v>1397</v>
      </c>
      <c r="D367" s="5" t="s">
        <v>336</v>
      </c>
      <c r="E367" s="5" t="s">
        <v>1398</v>
      </c>
      <c r="F367" s="4" t="s">
        <v>22</v>
      </c>
      <c r="G367" s="4" t="s">
        <v>1292</v>
      </c>
      <c r="H367" s="6" t="s">
        <v>1293</v>
      </c>
      <c r="I367" s="5" t="s">
        <v>1399</v>
      </c>
      <c r="J367" s="4" t="n">
        <v>1.79</v>
      </c>
      <c r="K367" s="4"/>
      <c r="L367" s="4" t="s">
        <v>26</v>
      </c>
      <c r="M367" s="5"/>
      <c r="N367" s="4" t="s">
        <v>27</v>
      </c>
      <c r="O367" s="5" t="s">
        <v>1400</v>
      </c>
    </row>
    <row r="368" customFormat="false" ht="60" hidden="false" customHeight="true" outlineLevel="0" collapsed="false">
      <c r="A368" s="7" t="s">
        <v>1401</v>
      </c>
      <c r="B368" s="8" t="s">
        <v>1396</v>
      </c>
      <c r="C368" s="8" t="s">
        <v>1397</v>
      </c>
      <c r="D368" s="8" t="s">
        <v>341</v>
      </c>
      <c r="E368" s="8" t="s">
        <v>1402</v>
      </c>
      <c r="F368" s="7" t="s">
        <v>22</v>
      </c>
      <c r="G368" s="7" t="s">
        <v>1292</v>
      </c>
      <c r="H368" s="9" t="s">
        <v>1293</v>
      </c>
      <c r="I368" s="8" t="s">
        <v>1403</v>
      </c>
      <c r="J368" s="7" t="n">
        <v>1.43</v>
      </c>
      <c r="K368" s="7"/>
      <c r="L368" s="7" t="s">
        <v>26</v>
      </c>
      <c r="M368" s="8"/>
      <c r="N368" s="7" t="s">
        <v>27</v>
      </c>
      <c r="O368" s="8" t="s">
        <v>1400</v>
      </c>
    </row>
    <row r="369" customFormat="false" ht="60" hidden="false" customHeight="true" outlineLevel="0" collapsed="false">
      <c r="A369" s="4" t="s">
        <v>1404</v>
      </c>
      <c r="B369" s="5" t="s">
        <v>1396</v>
      </c>
      <c r="C369" s="5" t="s">
        <v>1397</v>
      </c>
      <c r="D369" s="5" t="s">
        <v>345</v>
      </c>
      <c r="E369" s="5" t="s">
        <v>1405</v>
      </c>
      <c r="F369" s="4" t="s">
        <v>36</v>
      </c>
      <c r="G369" s="4" t="s">
        <v>1292</v>
      </c>
      <c r="H369" s="6" t="s">
        <v>1293</v>
      </c>
      <c r="I369" s="5" t="s">
        <v>1406</v>
      </c>
      <c r="J369" s="4" t="n">
        <v>1.55</v>
      </c>
      <c r="K369" s="4"/>
      <c r="L369" s="4" t="s">
        <v>26</v>
      </c>
      <c r="M369" s="5"/>
      <c r="N369" s="4" t="s">
        <v>27</v>
      </c>
      <c r="O369" s="5" t="s">
        <v>1400</v>
      </c>
    </row>
    <row r="370" customFormat="false" ht="60" hidden="false" customHeight="true" outlineLevel="0" collapsed="false">
      <c r="A370" s="7" t="s">
        <v>1407</v>
      </c>
      <c r="B370" s="8" t="s">
        <v>1396</v>
      </c>
      <c r="C370" s="8" t="s">
        <v>1397</v>
      </c>
      <c r="D370" s="8" t="s">
        <v>1408</v>
      </c>
      <c r="E370" s="8" t="s">
        <v>1409</v>
      </c>
      <c r="F370" s="7" t="s">
        <v>36</v>
      </c>
      <c r="G370" s="7" t="s">
        <v>1292</v>
      </c>
      <c r="H370" s="9" t="s">
        <v>1293</v>
      </c>
      <c r="I370" s="8" t="s">
        <v>1410</v>
      </c>
      <c r="J370" s="7" t="n">
        <v>4.17</v>
      </c>
      <c r="K370" s="7"/>
      <c r="L370" s="7" t="s">
        <v>26</v>
      </c>
      <c r="M370" s="8"/>
      <c r="N370" s="7" t="s">
        <v>27</v>
      </c>
      <c r="O370" s="8" t="s">
        <v>1400</v>
      </c>
    </row>
    <row r="371" customFormat="false" ht="60" hidden="false" customHeight="true" outlineLevel="0" collapsed="false">
      <c r="A371" s="4" t="s">
        <v>1411</v>
      </c>
      <c r="B371" s="5" t="s">
        <v>1396</v>
      </c>
      <c r="C371" s="5" t="s">
        <v>1397</v>
      </c>
      <c r="D371" s="5" t="s">
        <v>1412</v>
      </c>
      <c r="E371" s="5" t="s">
        <v>1413</v>
      </c>
      <c r="F371" s="4" t="s">
        <v>36</v>
      </c>
      <c r="G371" s="4" t="s">
        <v>1292</v>
      </c>
      <c r="H371" s="6" t="s">
        <v>1293</v>
      </c>
      <c r="I371" s="5" t="s">
        <v>1414</v>
      </c>
      <c r="J371" s="4" t="n">
        <v>1.79</v>
      </c>
      <c r="K371" s="4"/>
      <c r="L371" s="4" t="s">
        <v>26</v>
      </c>
      <c r="M371" s="5"/>
      <c r="N371" s="4" t="s">
        <v>27</v>
      </c>
      <c r="O371" s="5" t="s">
        <v>1400</v>
      </c>
    </row>
    <row r="372" customFormat="false" ht="60" hidden="false" customHeight="true" outlineLevel="0" collapsed="false">
      <c r="A372" s="7" t="s">
        <v>1415</v>
      </c>
      <c r="B372" s="8" t="s">
        <v>1396</v>
      </c>
      <c r="C372" s="8" t="s">
        <v>1397</v>
      </c>
      <c r="D372" s="8" t="s">
        <v>1416</v>
      </c>
      <c r="E372" s="8" t="s">
        <v>1417</v>
      </c>
      <c r="F372" s="7" t="s">
        <v>67</v>
      </c>
      <c r="G372" s="7" t="s">
        <v>1292</v>
      </c>
      <c r="H372" s="9" t="s">
        <v>1293</v>
      </c>
      <c r="I372" s="8" t="s">
        <v>1418</v>
      </c>
      <c r="J372" s="7" t="n">
        <v>1.19</v>
      </c>
      <c r="K372" s="7"/>
      <c r="L372" s="7" t="s">
        <v>26</v>
      </c>
      <c r="M372" s="8"/>
      <c r="N372" s="7" t="s">
        <v>27</v>
      </c>
      <c r="O372" s="8" t="s">
        <v>1400</v>
      </c>
    </row>
    <row r="373" customFormat="false" ht="60" hidden="false" customHeight="true" outlineLevel="0" collapsed="false">
      <c r="A373" s="4" t="s">
        <v>1419</v>
      </c>
      <c r="B373" s="5" t="s">
        <v>1396</v>
      </c>
      <c r="C373" s="5" t="s">
        <v>1397</v>
      </c>
      <c r="D373" s="5" t="s">
        <v>1420</v>
      </c>
      <c r="E373" s="5" t="s">
        <v>1421</v>
      </c>
      <c r="F373" s="4" t="s">
        <v>53</v>
      </c>
      <c r="G373" s="4" t="s">
        <v>1292</v>
      </c>
      <c r="H373" s="6" t="s">
        <v>1293</v>
      </c>
      <c r="I373" s="5" t="s">
        <v>1422</v>
      </c>
      <c r="J373" s="4" t="n">
        <v>2.02</v>
      </c>
      <c r="K373" s="4"/>
      <c r="L373" s="4" t="s">
        <v>26</v>
      </c>
      <c r="M373" s="5"/>
      <c r="N373" s="4" t="s">
        <v>27</v>
      </c>
      <c r="O373" s="5" t="s">
        <v>1400</v>
      </c>
    </row>
    <row r="374" customFormat="false" ht="60" hidden="false" customHeight="true" outlineLevel="0" collapsed="false">
      <c r="A374" s="7" t="s">
        <v>1423</v>
      </c>
      <c r="B374" s="8" t="s">
        <v>1396</v>
      </c>
      <c r="C374" s="8" t="s">
        <v>1397</v>
      </c>
      <c r="D374" s="8" t="s">
        <v>1424</v>
      </c>
      <c r="E374" s="8" t="s">
        <v>1425</v>
      </c>
      <c r="F374" s="7" t="s">
        <v>58</v>
      </c>
      <c r="G374" s="7" t="s">
        <v>1292</v>
      </c>
      <c r="H374" s="9" t="s">
        <v>1293</v>
      </c>
      <c r="I374" s="8" t="s">
        <v>1426</v>
      </c>
      <c r="J374" s="7" t="n">
        <v>1.57</v>
      </c>
      <c r="K374" s="7"/>
      <c r="L374" s="7" t="s">
        <v>26</v>
      </c>
      <c r="M374" s="8"/>
      <c r="N374" s="7" t="s">
        <v>27</v>
      </c>
      <c r="O374" s="8" t="s">
        <v>1400</v>
      </c>
    </row>
    <row r="375" customFormat="false" ht="60" hidden="false" customHeight="true" outlineLevel="0" collapsed="false">
      <c r="A375" s="4" t="s">
        <v>1427</v>
      </c>
      <c r="B375" s="5" t="s">
        <v>1396</v>
      </c>
      <c r="C375" s="5" t="s">
        <v>1397</v>
      </c>
      <c r="D375" s="5" t="s">
        <v>1428</v>
      </c>
      <c r="E375" s="5" t="s">
        <v>1429</v>
      </c>
      <c r="F375" s="4" t="s">
        <v>67</v>
      </c>
      <c r="G375" s="4" t="s">
        <v>1292</v>
      </c>
      <c r="H375" s="6" t="s">
        <v>1293</v>
      </c>
      <c r="I375" s="5" t="s">
        <v>1430</v>
      </c>
      <c r="J375" s="4" t="n">
        <v>0.9</v>
      </c>
      <c r="K375" s="4"/>
      <c r="L375" s="4" t="s">
        <v>26</v>
      </c>
      <c r="M375" s="5"/>
      <c r="N375" s="4" t="s">
        <v>27</v>
      </c>
      <c r="O375" s="5" t="s">
        <v>1400</v>
      </c>
    </row>
    <row r="376" customFormat="false" ht="60" hidden="false" customHeight="true" outlineLevel="0" collapsed="false">
      <c r="A376" s="7" t="s">
        <v>1431</v>
      </c>
      <c r="B376" s="8" t="s">
        <v>1396</v>
      </c>
      <c r="C376" s="8" t="s">
        <v>1397</v>
      </c>
      <c r="D376" s="8" t="s">
        <v>1432</v>
      </c>
      <c r="E376" s="8" t="s">
        <v>1433</v>
      </c>
      <c r="F376" s="7" t="s">
        <v>76</v>
      </c>
      <c r="G376" s="7" t="s">
        <v>1292</v>
      </c>
      <c r="H376" s="9" t="s">
        <v>1293</v>
      </c>
      <c r="I376" s="8" t="s">
        <v>1434</v>
      </c>
      <c r="J376" s="7" t="n">
        <v>1.58</v>
      </c>
      <c r="K376" s="7"/>
      <c r="L376" s="7" t="s">
        <v>26</v>
      </c>
      <c r="M376" s="8"/>
      <c r="N376" s="7" t="s">
        <v>27</v>
      </c>
      <c r="O376" s="8" t="s">
        <v>1400</v>
      </c>
    </row>
    <row r="377" customFormat="false" ht="60" hidden="false" customHeight="true" outlineLevel="0" collapsed="false">
      <c r="A377" s="4" t="s">
        <v>1435</v>
      </c>
      <c r="B377" s="5" t="s">
        <v>1396</v>
      </c>
      <c r="C377" s="5" t="s">
        <v>1397</v>
      </c>
      <c r="D377" s="5" t="s">
        <v>1436</v>
      </c>
      <c r="E377" s="5" t="s">
        <v>1437</v>
      </c>
      <c r="F377" s="4" t="s">
        <v>36</v>
      </c>
      <c r="G377" s="4" t="s">
        <v>1292</v>
      </c>
      <c r="H377" s="6" t="s">
        <v>1293</v>
      </c>
      <c r="I377" s="5" t="s">
        <v>1438</v>
      </c>
      <c r="J377" s="4" t="n">
        <v>1.3</v>
      </c>
      <c r="K377" s="4"/>
      <c r="L377" s="4" t="s">
        <v>26</v>
      </c>
      <c r="M377" s="5"/>
      <c r="N377" s="4" t="s">
        <v>27</v>
      </c>
      <c r="O377" s="5" t="s">
        <v>1400</v>
      </c>
    </row>
    <row r="378" customFormat="false" ht="60" hidden="false" customHeight="true" outlineLevel="0" collapsed="false">
      <c r="A378" s="7" t="s">
        <v>1439</v>
      </c>
      <c r="B378" s="8" t="s">
        <v>1396</v>
      </c>
      <c r="C378" s="8" t="s">
        <v>1397</v>
      </c>
      <c r="D378" s="8" t="s">
        <v>1440</v>
      </c>
      <c r="E378" s="8" t="s">
        <v>1441</v>
      </c>
      <c r="F378" s="7" t="s">
        <v>36</v>
      </c>
      <c r="G378" s="7" t="s">
        <v>1292</v>
      </c>
      <c r="H378" s="9" t="s">
        <v>1293</v>
      </c>
      <c r="I378" s="8" t="s">
        <v>1442</v>
      </c>
      <c r="J378" s="7" t="n">
        <v>1.3</v>
      </c>
      <c r="K378" s="7"/>
      <c r="L378" s="7" t="s">
        <v>26</v>
      </c>
      <c r="M378" s="8"/>
      <c r="N378" s="7" t="s">
        <v>27</v>
      </c>
      <c r="O378" s="8" t="s">
        <v>1400</v>
      </c>
    </row>
    <row r="379" customFormat="false" ht="60" hidden="false" customHeight="true" outlineLevel="0" collapsed="false">
      <c r="A379" s="4" t="s">
        <v>1443</v>
      </c>
      <c r="B379" s="5" t="s">
        <v>1396</v>
      </c>
      <c r="C379" s="5" t="s">
        <v>1397</v>
      </c>
      <c r="D379" s="5" t="s">
        <v>1444</v>
      </c>
      <c r="E379" s="5" t="s">
        <v>1445</v>
      </c>
      <c r="F379" s="4" t="s">
        <v>58</v>
      </c>
      <c r="G379" s="4" t="s">
        <v>1292</v>
      </c>
      <c r="H379" s="6" t="s">
        <v>1293</v>
      </c>
      <c r="I379" s="5" t="s">
        <v>1446</v>
      </c>
      <c r="J379" s="4" t="n">
        <v>1.08</v>
      </c>
      <c r="K379" s="4"/>
      <c r="L379" s="4" t="s">
        <v>26</v>
      </c>
      <c r="M379" s="5"/>
      <c r="N379" s="4" t="s">
        <v>27</v>
      </c>
      <c r="O379" s="5" t="s">
        <v>1400</v>
      </c>
    </row>
    <row r="380" customFormat="false" ht="60" hidden="false" customHeight="true" outlineLevel="0" collapsed="false">
      <c r="A380" s="7" t="s">
        <v>1447</v>
      </c>
      <c r="B380" s="8" t="s">
        <v>1396</v>
      </c>
      <c r="C380" s="8" t="s">
        <v>1448</v>
      </c>
      <c r="D380" s="8" t="s">
        <v>336</v>
      </c>
      <c r="E380" s="8" t="s">
        <v>1398</v>
      </c>
      <c r="F380" s="7" t="s">
        <v>22</v>
      </c>
      <c r="G380" s="7" t="s">
        <v>1292</v>
      </c>
      <c r="H380" s="9" t="s">
        <v>1293</v>
      </c>
      <c r="I380" s="8" t="s">
        <v>1449</v>
      </c>
      <c r="J380" s="7" t="n">
        <v>1.03</v>
      </c>
      <c r="K380" s="7"/>
      <c r="L380" s="7" t="s">
        <v>26</v>
      </c>
      <c r="M380" s="8"/>
      <c r="N380" s="7" t="s">
        <v>27</v>
      </c>
      <c r="O380" s="8" t="s">
        <v>1450</v>
      </c>
    </row>
    <row r="381" customFormat="false" ht="60" hidden="false" customHeight="true" outlineLevel="0" collapsed="false">
      <c r="A381" s="4" t="s">
        <v>1451</v>
      </c>
      <c r="B381" s="5" t="s">
        <v>1396</v>
      </c>
      <c r="C381" s="5" t="s">
        <v>1448</v>
      </c>
      <c r="D381" s="5" t="s">
        <v>341</v>
      </c>
      <c r="E381" s="5" t="s">
        <v>1402</v>
      </c>
      <c r="F381" s="4" t="s">
        <v>22</v>
      </c>
      <c r="G381" s="4" t="s">
        <v>1292</v>
      </c>
      <c r="H381" s="6" t="s">
        <v>1293</v>
      </c>
      <c r="I381" s="5" t="s">
        <v>1452</v>
      </c>
      <c r="J381" s="4" t="n">
        <v>0.83</v>
      </c>
      <c r="K381" s="4"/>
      <c r="L381" s="4" t="s">
        <v>26</v>
      </c>
      <c r="M381" s="5"/>
      <c r="N381" s="4" t="s">
        <v>27</v>
      </c>
      <c r="O381" s="5" t="s">
        <v>1450</v>
      </c>
    </row>
    <row r="382" customFormat="false" ht="60" hidden="false" customHeight="true" outlineLevel="0" collapsed="false">
      <c r="A382" s="7" t="s">
        <v>1453</v>
      </c>
      <c r="B382" s="8" t="s">
        <v>1396</v>
      </c>
      <c r="C382" s="8" t="s">
        <v>1448</v>
      </c>
      <c r="D382" s="8" t="s">
        <v>345</v>
      </c>
      <c r="E382" s="8" t="s">
        <v>1405</v>
      </c>
      <c r="F382" s="7" t="s">
        <v>36</v>
      </c>
      <c r="G382" s="7" t="s">
        <v>1292</v>
      </c>
      <c r="H382" s="9" t="s">
        <v>1293</v>
      </c>
      <c r="I382" s="8" t="s">
        <v>1454</v>
      </c>
      <c r="J382" s="7" t="n">
        <v>0.89</v>
      </c>
      <c r="K382" s="7"/>
      <c r="L382" s="7" t="s">
        <v>26</v>
      </c>
      <c r="M382" s="8"/>
      <c r="N382" s="7" t="s">
        <v>27</v>
      </c>
      <c r="O382" s="8" t="s">
        <v>1450</v>
      </c>
    </row>
    <row r="383" customFormat="false" ht="60" hidden="false" customHeight="true" outlineLevel="0" collapsed="false">
      <c r="A383" s="4" t="s">
        <v>1455</v>
      </c>
      <c r="B383" s="5" t="s">
        <v>1396</v>
      </c>
      <c r="C383" s="5" t="s">
        <v>1448</v>
      </c>
      <c r="D383" s="5" t="s">
        <v>1408</v>
      </c>
      <c r="E383" s="5" t="s">
        <v>1409</v>
      </c>
      <c r="F383" s="4" t="s">
        <v>36</v>
      </c>
      <c r="G383" s="4" t="s">
        <v>1292</v>
      </c>
      <c r="H383" s="6" t="s">
        <v>1293</v>
      </c>
      <c r="I383" s="5" t="s">
        <v>1456</v>
      </c>
      <c r="J383" s="4" t="n">
        <v>2.41</v>
      </c>
      <c r="K383" s="4"/>
      <c r="L383" s="4" t="s">
        <v>26</v>
      </c>
      <c r="M383" s="5"/>
      <c r="N383" s="4" t="s">
        <v>27</v>
      </c>
      <c r="O383" s="5" t="s">
        <v>1450</v>
      </c>
    </row>
    <row r="384" customFormat="false" ht="60" hidden="false" customHeight="true" outlineLevel="0" collapsed="false">
      <c r="A384" s="7" t="s">
        <v>1457</v>
      </c>
      <c r="B384" s="8" t="s">
        <v>1396</v>
      </c>
      <c r="C384" s="8" t="s">
        <v>1448</v>
      </c>
      <c r="D384" s="8" t="s">
        <v>1412</v>
      </c>
      <c r="E384" s="8" t="s">
        <v>1413</v>
      </c>
      <c r="F384" s="7" t="s">
        <v>36</v>
      </c>
      <c r="G384" s="7" t="s">
        <v>1292</v>
      </c>
      <c r="H384" s="9" t="s">
        <v>1293</v>
      </c>
      <c r="I384" s="8" t="s">
        <v>1458</v>
      </c>
      <c r="J384" s="7" t="n">
        <v>1.03</v>
      </c>
      <c r="K384" s="7"/>
      <c r="L384" s="7" t="s">
        <v>26</v>
      </c>
      <c r="M384" s="8"/>
      <c r="N384" s="7" t="s">
        <v>27</v>
      </c>
      <c r="O384" s="8" t="s">
        <v>1450</v>
      </c>
    </row>
    <row r="385" customFormat="false" ht="60" hidden="false" customHeight="true" outlineLevel="0" collapsed="false">
      <c r="A385" s="4" t="s">
        <v>1459</v>
      </c>
      <c r="B385" s="5" t="s">
        <v>1396</v>
      </c>
      <c r="C385" s="5" t="s">
        <v>1448</v>
      </c>
      <c r="D385" s="5" t="s">
        <v>1416</v>
      </c>
      <c r="E385" s="5" t="s">
        <v>1417</v>
      </c>
      <c r="F385" s="4" t="s">
        <v>67</v>
      </c>
      <c r="G385" s="4" t="s">
        <v>1292</v>
      </c>
      <c r="H385" s="6" t="s">
        <v>1293</v>
      </c>
      <c r="I385" s="5" t="s">
        <v>1460</v>
      </c>
      <c r="J385" s="4" t="n">
        <v>0.69</v>
      </c>
      <c r="K385" s="4"/>
      <c r="L385" s="4" t="s">
        <v>26</v>
      </c>
      <c r="M385" s="5"/>
      <c r="N385" s="4" t="s">
        <v>27</v>
      </c>
      <c r="O385" s="5" t="s">
        <v>1450</v>
      </c>
    </row>
    <row r="386" customFormat="false" ht="60" hidden="false" customHeight="true" outlineLevel="0" collapsed="false">
      <c r="A386" s="7" t="s">
        <v>1461</v>
      </c>
      <c r="B386" s="8" t="s">
        <v>1396</v>
      </c>
      <c r="C386" s="8" t="s">
        <v>1448</v>
      </c>
      <c r="D386" s="8" t="s">
        <v>1420</v>
      </c>
      <c r="E386" s="8" t="s">
        <v>1421</v>
      </c>
      <c r="F386" s="7" t="s">
        <v>53</v>
      </c>
      <c r="G386" s="7" t="s">
        <v>1292</v>
      </c>
      <c r="H386" s="9" t="s">
        <v>1293</v>
      </c>
      <c r="I386" s="8" t="s">
        <v>1462</v>
      </c>
      <c r="J386" s="7" t="n">
        <v>0.35</v>
      </c>
      <c r="K386" s="7"/>
      <c r="L386" s="7" t="s">
        <v>26</v>
      </c>
      <c r="M386" s="8"/>
      <c r="N386" s="7" t="s">
        <v>27</v>
      </c>
      <c r="O386" s="8" t="s">
        <v>1450</v>
      </c>
    </row>
    <row r="387" customFormat="false" ht="60" hidden="false" customHeight="true" outlineLevel="0" collapsed="false">
      <c r="A387" s="4" t="s">
        <v>1463</v>
      </c>
      <c r="B387" s="5" t="s">
        <v>1396</v>
      </c>
      <c r="C387" s="5" t="s">
        <v>1448</v>
      </c>
      <c r="D387" s="5" t="s">
        <v>1424</v>
      </c>
      <c r="E387" s="5" t="s">
        <v>1425</v>
      </c>
      <c r="F387" s="4" t="s">
        <v>58</v>
      </c>
      <c r="G387" s="4" t="s">
        <v>1292</v>
      </c>
      <c r="H387" s="6" t="s">
        <v>1293</v>
      </c>
      <c r="I387" s="5" t="s">
        <v>1464</v>
      </c>
      <c r="J387" s="4" t="n">
        <v>0.27</v>
      </c>
      <c r="K387" s="4"/>
      <c r="L387" s="4" t="s">
        <v>26</v>
      </c>
      <c r="M387" s="5"/>
      <c r="N387" s="4" t="s">
        <v>27</v>
      </c>
      <c r="O387" s="5" t="s">
        <v>1450</v>
      </c>
    </row>
    <row r="388" customFormat="false" ht="60" hidden="false" customHeight="true" outlineLevel="0" collapsed="false">
      <c r="A388" s="7" t="s">
        <v>1465</v>
      </c>
      <c r="B388" s="8" t="s">
        <v>1396</v>
      </c>
      <c r="C388" s="8" t="s">
        <v>1448</v>
      </c>
      <c r="D388" s="8" t="s">
        <v>1428</v>
      </c>
      <c r="E388" s="8" t="s">
        <v>1429</v>
      </c>
      <c r="F388" s="7" t="s">
        <v>67</v>
      </c>
      <c r="G388" s="7" t="s">
        <v>1292</v>
      </c>
      <c r="H388" s="9" t="s">
        <v>1293</v>
      </c>
      <c r="I388" s="8" t="s">
        <v>1466</v>
      </c>
      <c r="J388" s="7" t="n">
        <v>0.16</v>
      </c>
      <c r="K388" s="7"/>
      <c r="L388" s="7" t="s">
        <v>26</v>
      </c>
      <c r="M388" s="8"/>
      <c r="N388" s="7" t="s">
        <v>27</v>
      </c>
      <c r="O388" s="8" t="s">
        <v>1450</v>
      </c>
    </row>
    <row r="389" customFormat="false" ht="60" hidden="false" customHeight="true" outlineLevel="0" collapsed="false">
      <c r="A389" s="4" t="s">
        <v>1467</v>
      </c>
      <c r="B389" s="5" t="s">
        <v>1396</v>
      </c>
      <c r="C389" s="5" t="s">
        <v>1448</v>
      </c>
      <c r="D389" s="5" t="s">
        <v>1432</v>
      </c>
      <c r="E389" s="5" t="s">
        <v>1433</v>
      </c>
      <c r="F389" s="4" t="s">
        <v>76</v>
      </c>
      <c r="G389" s="4" t="s">
        <v>1292</v>
      </c>
      <c r="H389" s="6" t="s">
        <v>1293</v>
      </c>
      <c r="I389" s="5" t="s">
        <v>1468</v>
      </c>
      <c r="J389" s="4" t="n">
        <v>0.45</v>
      </c>
      <c r="K389" s="4"/>
      <c r="L389" s="4" t="s">
        <v>26</v>
      </c>
      <c r="M389" s="5"/>
      <c r="N389" s="4" t="s">
        <v>27</v>
      </c>
      <c r="O389" s="5" t="s">
        <v>1450</v>
      </c>
    </row>
    <row r="390" customFormat="false" ht="60" hidden="false" customHeight="true" outlineLevel="0" collapsed="false">
      <c r="A390" s="7" t="s">
        <v>1469</v>
      </c>
      <c r="B390" s="8" t="s">
        <v>1396</v>
      </c>
      <c r="C390" s="8" t="s">
        <v>1470</v>
      </c>
      <c r="D390" s="8" t="s">
        <v>336</v>
      </c>
      <c r="E390" s="8" t="s">
        <v>1398</v>
      </c>
      <c r="F390" s="7" t="s">
        <v>22</v>
      </c>
      <c r="G390" s="7" t="s">
        <v>1292</v>
      </c>
      <c r="H390" s="9" t="s">
        <v>1293</v>
      </c>
      <c r="I390" s="8" t="s">
        <v>1471</v>
      </c>
      <c r="J390" s="7" t="n">
        <v>1.03</v>
      </c>
      <c r="K390" s="7"/>
      <c r="L390" s="7" t="s">
        <v>26</v>
      </c>
      <c r="M390" s="8"/>
      <c r="N390" s="7" t="s">
        <v>27</v>
      </c>
      <c r="O390" s="8" t="s">
        <v>1472</v>
      </c>
    </row>
    <row r="391" customFormat="false" ht="60" hidden="false" customHeight="true" outlineLevel="0" collapsed="false">
      <c r="A391" s="4" t="s">
        <v>1473</v>
      </c>
      <c r="B391" s="5" t="s">
        <v>1396</v>
      </c>
      <c r="C391" s="5" t="s">
        <v>1470</v>
      </c>
      <c r="D391" s="5" t="s">
        <v>341</v>
      </c>
      <c r="E391" s="5" t="s">
        <v>1402</v>
      </c>
      <c r="F391" s="4" t="s">
        <v>22</v>
      </c>
      <c r="G391" s="4" t="s">
        <v>1292</v>
      </c>
      <c r="H391" s="6" t="s">
        <v>1293</v>
      </c>
      <c r="I391" s="5" t="s">
        <v>1474</v>
      </c>
      <c r="J391" s="4" t="n">
        <v>0.83</v>
      </c>
      <c r="K391" s="4"/>
      <c r="L391" s="4" t="s">
        <v>26</v>
      </c>
      <c r="M391" s="5"/>
      <c r="N391" s="4" t="s">
        <v>27</v>
      </c>
      <c r="O391" s="5" t="s">
        <v>1472</v>
      </c>
    </row>
    <row r="392" customFormat="false" ht="60" hidden="false" customHeight="true" outlineLevel="0" collapsed="false">
      <c r="A392" s="7" t="s">
        <v>1475</v>
      </c>
      <c r="B392" s="8" t="s">
        <v>1396</v>
      </c>
      <c r="C392" s="8" t="s">
        <v>1470</v>
      </c>
      <c r="D392" s="8" t="s">
        <v>345</v>
      </c>
      <c r="E392" s="8" t="s">
        <v>1405</v>
      </c>
      <c r="F392" s="7" t="s">
        <v>36</v>
      </c>
      <c r="G392" s="7" t="s">
        <v>1292</v>
      </c>
      <c r="H392" s="9" t="s">
        <v>1293</v>
      </c>
      <c r="I392" s="8" t="s">
        <v>1476</v>
      </c>
      <c r="J392" s="7" t="n">
        <v>0.89</v>
      </c>
      <c r="K392" s="7"/>
      <c r="L392" s="7" t="s">
        <v>26</v>
      </c>
      <c r="M392" s="8"/>
      <c r="N392" s="7" t="s">
        <v>27</v>
      </c>
      <c r="O392" s="8" t="s">
        <v>1472</v>
      </c>
    </row>
    <row r="393" customFormat="false" ht="60" hidden="false" customHeight="true" outlineLevel="0" collapsed="false">
      <c r="A393" s="4" t="s">
        <v>1477</v>
      </c>
      <c r="B393" s="5" t="s">
        <v>1396</v>
      </c>
      <c r="C393" s="5" t="s">
        <v>1470</v>
      </c>
      <c r="D393" s="5" t="s">
        <v>1408</v>
      </c>
      <c r="E393" s="5" t="s">
        <v>1409</v>
      </c>
      <c r="F393" s="4" t="s">
        <v>36</v>
      </c>
      <c r="G393" s="4" t="s">
        <v>1292</v>
      </c>
      <c r="H393" s="6" t="s">
        <v>1293</v>
      </c>
      <c r="I393" s="5" t="s">
        <v>1478</v>
      </c>
      <c r="J393" s="4" t="n">
        <v>2.41</v>
      </c>
      <c r="K393" s="4"/>
      <c r="L393" s="4" t="s">
        <v>26</v>
      </c>
      <c r="M393" s="5"/>
      <c r="N393" s="4" t="s">
        <v>27</v>
      </c>
      <c r="O393" s="5" t="s">
        <v>1472</v>
      </c>
    </row>
    <row r="394" customFormat="false" ht="60" hidden="false" customHeight="true" outlineLevel="0" collapsed="false">
      <c r="A394" s="7" t="s">
        <v>1479</v>
      </c>
      <c r="B394" s="8" t="s">
        <v>1396</v>
      </c>
      <c r="C394" s="8" t="s">
        <v>1470</v>
      </c>
      <c r="D394" s="8" t="s">
        <v>1412</v>
      </c>
      <c r="E394" s="8" t="s">
        <v>1413</v>
      </c>
      <c r="F394" s="7" t="s">
        <v>36</v>
      </c>
      <c r="G394" s="7" t="s">
        <v>1292</v>
      </c>
      <c r="H394" s="9" t="s">
        <v>1293</v>
      </c>
      <c r="I394" s="8" t="s">
        <v>1480</v>
      </c>
      <c r="J394" s="7" t="n">
        <v>1.03</v>
      </c>
      <c r="K394" s="7"/>
      <c r="L394" s="7" t="s">
        <v>26</v>
      </c>
      <c r="M394" s="8"/>
      <c r="N394" s="7" t="s">
        <v>27</v>
      </c>
      <c r="O394" s="8" t="s">
        <v>1472</v>
      </c>
    </row>
    <row r="395" customFormat="false" ht="60" hidden="false" customHeight="true" outlineLevel="0" collapsed="false">
      <c r="A395" s="4" t="s">
        <v>1481</v>
      </c>
      <c r="B395" s="5" t="s">
        <v>1396</v>
      </c>
      <c r="C395" s="5" t="s">
        <v>1470</v>
      </c>
      <c r="D395" s="5" t="s">
        <v>1416</v>
      </c>
      <c r="E395" s="5" t="s">
        <v>1417</v>
      </c>
      <c r="F395" s="4" t="s">
        <v>67</v>
      </c>
      <c r="G395" s="4" t="s">
        <v>1292</v>
      </c>
      <c r="H395" s="6" t="s">
        <v>1293</v>
      </c>
      <c r="I395" s="5" t="s">
        <v>1482</v>
      </c>
      <c r="J395" s="4" t="n">
        <v>0.69</v>
      </c>
      <c r="K395" s="4"/>
      <c r="L395" s="4" t="s">
        <v>26</v>
      </c>
      <c r="M395" s="5"/>
      <c r="N395" s="4" t="s">
        <v>27</v>
      </c>
      <c r="O395" s="5" t="s">
        <v>1472</v>
      </c>
    </row>
    <row r="396" customFormat="false" ht="60" hidden="false" customHeight="true" outlineLevel="0" collapsed="false">
      <c r="A396" s="7" t="s">
        <v>1483</v>
      </c>
      <c r="B396" s="8" t="s">
        <v>1396</v>
      </c>
      <c r="C396" s="8" t="s">
        <v>1470</v>
      </c>
      <c r="D396" s="8" t="s">
        <v>1420</v>
      </c>
      <c r="E396" s="8" t="s">
        <v>1421</v>
      </c>
      <c r="F396" s="7" t="s">
        <v>53</v>
      </c>
      <c r="G396" s="7" t="s">
        <v>1292</v>
      </c>
      <c r="H396" s="9" t="s">
        <v>1293</v>
      </c>
      <c r="I396" s="8" t="s">
        <v>1484</v>
      </c>
      <c r="J396" s="7" t="n">
        <v>0.35</v>
      </c>
      <c r="K396" s="7"/>
      <c r="L396" s="7" t="s">
        <v>26</v>
      </c>
      <c r="M396" s="8"/>
      <c r="N396" s="7" t="s">
        <v>27</v>
      </c>
      <c r="O396" s="8" t="s">
        <v>1472</v>
      </c>
    </row>
    <row r="397" customFormat="false" ht="60" hidden="false" customHeight="true" outlineLevel="0" collapsed="false">
      <c r="A397" s="4" t="s">
        <v>1485</v>
      </c>
      <c r="B397" s="5" t="s">
        <v>1396</v>
      </c>
      <c r="C397" s="5" t="s">
        <v>1470</v>
      </c>
      <c r="D397" s="5" t="s">
        <v>1424</v>
      </c>
      <c r="E397" s="5" t="s">
        <v>1425</v>
      </c>
      <c r="F397" s="4" t="s">
        <v>58</v>
      </c>
      <c r="G397" s="4" t="s">
        <v>1292</v>
      </c>
      <c r="H397" s="6" t="s">
        <v>1293</v>
      </c>
      <c r="I397" s="5" t="s">
        <v>1486</v>
      </c>
      <c r="J397" s="4" t="n">
        <v>0.27</v>
      </c>
      <c r="K397" s="4"/>
      <c r="L397" s="4" t="s">
        <v>26</v>
      </c>
      <c r="M397" s="5"/>
      <c r="N397" s="4" t="s">
        <v>27</v>
      </c>
      <c r="O397" s="5" t="s">
        <v>1472</v>
      </c>
    </row>
    <row r="398" customFormat="false" ht="60" hidden="false" customHeight="true" outlineLevel="0" collapsed="false">
      <c r="A398" s="7" t="s">
        <v>1487</v>
      </c>
      <c r="B398" s="8" t="s">
        <v>1396</v>
      </c>
      <c r="C398" s="8" t="s">
        <v>1470</v>
      </c>
      <c r="D398" s="8" t="s">
        <v>1428</v>
      </c>
      <c r="E398" s="8" t="s">
        <v>1429</v>
      </c>
      <c r="F398" s="7" t="s">
        <v>67</v>
      </c>
      <c r="G398" s="7" t="s">
        <v>1292</v>
      </c>
      <c r="H398" s="9" t="s">
        <v>1293</v>
      </c>
      <c r="I398" s="8" t="s">
        <v>1488</v>
      </c>
      <c r="J398" s="7" t="n">
        <v>0.16</v>
      </c>
      <c r="K398" s="7"/>
      <c r="L398" s="7" t="s">
        <v>26</v>
      </c>
      <c r="M398" s="8"/>
      <c r="N398" s="7" t="s">
        <v>27</v>
      </c>
      <c r="O398" s="8" t="s">
        <v>1472</v>
      </c>
    </row>
    <row r="399" customFormat="false" ht="60" hidden="false" customHeight="true" outlineLevel="0" collapsed="false">
      <c r="A399" s="4" t="s">
        <v>1489</v>
      </c>
      <c r="B399" s="5" t="s">
        <v>1396</v>
      </c>
      <c r="C399" s="5" t="s">
        <v>1470</v>
      </c>
      <c r="D399" s="5" t="s">
        <v>1432</v>
      </c>
      <c r="E399" s="5" t="s">
        <v>1433</v>
      </c>
      <c r="F399" s="4" t="s">
        <v>76</v>
      </c>
      <c r="G399" s="4" t="s">
        <v>1292</v>
      </c>
      <c r="H399" s="6" t="s">
        <v>1293</v>
      </c>
      <c r="I399" s="5" t="s">
        <v>1490</v>
      </c>
      <c r="J399" s="4" t="n">
        <v>0.45</v>
      </c>
      <c r="K399" s="4"/>
      <c r="L399" s="4" t="s">
        <v>26</v>
      </c>
      <c r="M399" s="5"/>
      <c r="N399" s="4" t="s">
        <v>27</v>
      </c>
      <c r="O399" s="5" t="s">
        <v>1472</v>
      </c>
    </row>
    <row r="400" customFormat="false" ht="60" hidden="false" customHeight="true" outlineLevel="0" collapsed="false">
      <c r="A400" s="7" t="s">
        <v>1491</v>
      </c>
      <c r="B400" s="8" t="s">
        <v>1396</v>
      </c>
      <c r="C400" s="8" t="s">
        <v>1492</v>
      </c>
      <c r="D400" s="8" t="s">
        <v>294</v>
      </c>
      <c r="E400" s="8" t="s">
        <v>1493</v>
      </c>
      <c r="F400" s="7" t="s">
        <v>22</v>
      </c>
      <c r="G400" s="7" t="s">
        <v>1494</v>
      </c>
      <c r="H400" s="9" t="s">
        <v>1495</v>
      </c>
      <c r="I400" s="8" t="s">
        <v>1496</v>
      </c>
      <c r="J400" s="7" t="n">
        <v>0.84</v>
      </c>
      <c r="K400" s="7"/>
      <c r="L400" s="7" t="s">
        <v>253</v>
      </c>
      <c r="M400" s="8"/>
      <c r="N400" s="7" t="s">
        <v>27</v>
      </c>
      <c r="O400" s="8" t="s">
        <v>1497</v>
      </c>
    </row>
    <row r="401" customFormat="false" ht="60" hidden="false" customHeight="true" outlineLevel="0" collapsed="false">
      <c r="A401" s="4" t="s">
        <v>1498</v>
      </c>
      <c r="B401" s="5" t="s">
        <v>1396</v>
      </c>
      <c r="C401" s="5" t="s">
        <v>1492</v>
      </c>
      <c r="D401" s="5" t="s">
        <v>299</v>
      </c>
      <c r="E401" s="5" t="s">
        <v>1499</v>
      </c>
      <c r="F401" s="4" t="s">
        <v>22</v>
      </c>
      <c r="G401" s="4" t="s">
        <v>1494</v>
      </c>
      <c r="H401" s="6" t="s">
        <v>1495</v>
      </c>
      <c r="I401" s="5" t="s">
        <v>1500</v>
      </c>
      <c r="J401" s="4" t="n">
        <v>0.67</v>
      </c>
      <c r="K401" s="4"/>
      <c r="L401" s="4" t="s">
        <v>253</v>
      </c>
      <c r="M401" s="5"/>
      <c r="N401" s="4" t="s">
        <v>27</v>
      </c>
      <c r="O401" s="5" t="s">
        <v>1497</v>
      </c>
    </row>
    <row r="402" customFormat="false" ht="60" hidden="false" customHeight="true" outlineLevel="0" collapsed="false">
      <c r="A402" s="7" t="s">
        <v>1501</v>
      </c>
      <c r="B402" s="8" t="s">
        <v>1396</v>
      </c>
      <c r="C402" s="8" t="s">
        <v>1492</v>
      </c>
      <c r="D402" s="8" t="s">
        <v>303</v>
      </c>
      <c r="E402" s="8" t="s">
        <v>1502</v>
      </c>
      <c r="F402" s="7" t="s">
        <v>36</v>
      </c>
      <c r="G402" s="7" t="s">
        <v>1494</v>
      </c>
      <c r="H402" s="9" t="s">
        <v>1495</v>
      </c>
      <c r="I402" s="8" t="s">
        <v>1503</v>
      </c>
      <c r="J402" s="7" t="n">
        <v>0.73</v>
      </c>
      <c r="K402" s="7"/>
      <c r="L402" s="7" t="s">
        <v>253</v>
      </c>
      <c r="M402" s="8"/>
      <c r="N402" s="7" t="s">
        <v>27</v>
      </c>
      <c r="O402" s="8" t="s">
        <v>1497</v>
      </c>
    </row>
    <row r="403" customFormat="false" ht="60" hidden="false" customHeight="true" outlineLevel="0" collapsed="false">
      <c r="A403" s="4" t="s">
        <v>1504</v>
      </c>
      <c r="B403" s="5" t="s">
        <v>1396</v>
      </c>
      <c r="C403" s="5" t="s">
        <v>1492</v>
      </c>
      <c r="D403" s="5" t="s">
        <v>1505</v>
      </c>
      <c r="E403" s="5" t="s">
        <v>1506</v>
      </c>
      <c r="F403" s="4" t="s">
        <v>36</v>
      </c>
      <c r="G403" s="4" t="s">
        <v>1494</v>
      </c>
      <c r="H403" s="6" t="s">
        <v>1495</v>
      </c>
      <c r="I403" s="5" t="s">
        <v>1507</v>
      </c>
      <c r="J403" s="4" t="n">
        <v>1.96</v>
      </c>
      <c r="K403" s="4"/>
      <c r="L403" s="4" t="s">
        <v>253</v>
      </c>
      <c r="M403" s="5"/>
      <c r="N403" s="4" t="s">
        <v>27</v>
      </c>
      <c r="O403" s="5" t="s">
        <v>1497</v>
      </c>
    </row>
    <row r="404" customFormat="false" ht="60" hidden="false" customHeight="true" outlineLevel="0" collapsed="false">
      <c r="A404" s="7" t="s">
        <v>1508</v>
      </c>
      <c r="B404" s="8" t="s">
        <v>1396</v>
      </c>
      <c r="C404" s="8" t="s">
        <v>1492</v>
      </c>
      <c r="D404" s="8" t="s">
        <v>1509</v>
      </c>
      <c r="E404" s="8" t="s">
        <v>1510</v>
      </c>
      <c r="F404" s="7" t="s">
        <v>36</v>
      </c>
      <c r="G404" s="7" t="s">
        <v>1494</v>
      </c>
      <c r="H404" s="9" t="s">
        <v>1495</v>
      </c>
      <c r="I404" s="8" t="s">
        <v>1511</v>
      </c>
      <c r="J404" s="7" t="n">
        <v>0.84</v>
      </c>
      <c r="K404" s="7"/>
      <c r="L404" s="7" t="s">
        <v>253</v>
      </c>
      <c r="M404" s="8"/>
      <c r="N404" s="7" t="s">
        <v>27</v>
      </c>
      <c r="O404" s="8" t="s">
        <v>1497</v>
      </c>
    </row>
    <row r="405" customFormat="false" ht="60" hidden="false" customHeight="true" outlineLevel="0" collapsed="false">
      <c r="A405" s="4" t="s">
        <v>1512</v>
      </c>
      <c r="B405" s="5" t="s">
        <v>1396</v>
      </c>
      <c r="C405" s="5" t="s">
        <v>1492</v>
      </c>
      <c r="D405" s="5" t="s">
        <v>1513</v>
      </c>
      <c r="E405" s="5" t="s">
        <v>1514</v>
      </c>
      <c r="F405" s="4" t="s">
        <v>67</v>
      </c>
      <c r="G405" s="4" t="s">
        <v>1494</v>
      </c>
      <c r="H405" s="6" t="s">
        <v>1495</v>
      </c>
      <c r="I405" s="5" t="s">
        <v>1515</v>
      </c>
      <c r="J405" s="4" t="n">
        <v>0.56</v>
      </c>
      <c r="K405" s="4"/>
      <c r="L405" s="4" t="s">
        <v>253</v>
      </c>
      <c r="M405" s="5"/>
      <c r="N405" s="4" t="s">
        <v>27</v>
      </c>
      <c r="O405" s="5" t="s">
        <v>1497</v>
      </c>
    </row>
    <row r="406" customFormat="false" ht="60" hidden="false" customHeight="true" outlineLevel="0" collapsed="false">
      <c r="A406" s="7" t="s">
        <v>1516</v>
      </c>
      <c r="B406" s="8" t="s">
        <v>1396</v>
      </c>
      <c r="C406" s="8" t="s">
        <v>1492</v>
      </c>
      <c r="D406" s="8" t="s">
        <v>1517</v>
      </c>
      <c r="E406" s="8" t="s">
        <v>1518</v>
      </c>
      <c r="F406" s="7" t="s">
        <v>53</v>
      </c>
      <c r="G406" s="7" t="s">
        <v>1494</v>
      </c>
      <c r="H406" s="9" t="s">
        <v>1495</v>
      </c>
      <c r="I406" s="8" t="s">
        <v>1519</v>
      </c>
      <c r="J406" s="7" t="n">
        <v>3.1</v>
      </c>
      <c r="K406" s="7"/>
      <c r="L406" s="7" t="s">
        <v>253</v>
      </c>
      <c r="M406" s="8"/>
      <c r="N406" s="7" t="s">
        <v>27</v>
      </c>
      <c r="O406" s="8" t="s">
        <v>1497</v>
      </c>
    </row>
    <row r="407" customFormat="false" ht="60" hidden="false" customHeight="true" outlineLevel="0" collapsed="false">
      <c r="A407" s="4" t="s">
        <v>1520</v>
      </c>
      <c r="B407" s="5" t="s">
        <v>1396</v>
      </c>
      <c r="C407" s="5" t="s">
        <v>1492</v>
      </c>
      <c r="D407" s="5" t="s">
        <v>1521</v>
      </c>
      <c r="E407" s="5" t="s">
        <v>1522</v>
      </c>
      <c r="F407" s="4" t="s">
        <v>58</v>
      </c>
      <c r="G407" s="4" t="s">
        <v>1494</v>
      </c>
      <c r="H407" s="6" t="s">
        <v>1495</v>
      </c>
      <c r="I407" s="5" t="s">
        <v>1523</v>
      </c>
      <c r="J407" s="4" t="n">
        <v>2.41</v>
      </c>
      <c r="K407" s="4"/>
      <c r="L407" s="4" t="s">
        <v>253</v>
      </c>
      <c r="M407" s="5"/>
      <c r="N407" s="4" t="s">
        <v>27</v>
      </c>
      <c r="O407" s="5" t="s">
        <v>1497</v>
      </c>
    </row>
    <row r="408" customFormat="false" ht="60" hidden="false" customHeight="true" outlineLevel="0" collapsed="false">
      <c r="A408" s="7" t="s">
        <v>1524</v>
      </c>
      <c r="B408" s="8" t="s">
        <v>1396</v>
      </c>
      <c r="C408" s="8" t="s">
        <v>1492</v>
      </c>
      <c r="D408" s="8" t="s">
        <v>1525</v>
      </c>
      <c r="E408" s="8" t="s">
        <v>1526</v>
      </c>
      <c r="F408" s="7" t="s">
        <v>67</v>
      </c>
      <c r="G408" s="7" t="s">
        <v>1494</v>
      </c>
      <c r="H408" s="9" t="s">
        <v>1495</v>
      </c>
      <c r="I408" s="8" t="s">
        <v>1527</v>
      </c>
      <c r="J408" s="7" t="n">
        <v>1.38</v>
      </c>
      <c r="K408" s="7"/>
      <c r="L408" s="7" t="s">
        <v>253</v>
      </c>
      <c r="M408" s="8"/>
      <c r="N408" s="7" t="s">
        <v>27</v>
      </c>
      <c r="O408" s="8" t="s">
        <v>1497</v>
      </c>
    </row>
    <row r="409" customFormat="false" ht="60" hidden="false" customHeight="true" outlineLevel="0" collapsed="false">
      <c r="A409" s="4" t="s">
        <v>1528</v>
      </c>
      <c r="B409" s="5" t="s">
        <v>1396</v>
      </c>
      <c r="C409" s="5" t="s">
        <v>1492</v>
      </c>
      <c r="D409" s="5" t="s">
        <v>1529</v>
      </c>
      <c r="E409" s="5" t="s">
        <v>1530</v>
      </c>
      <c r="F409" s="4" t="s">
        <v>76</v>
      </c>
      <c r="G409" s="4" t="s">
        <v>1494</v>
      </c>
      <c r="H409" s="6" t="s">
        <v>1495</v>
      </c>
      <c r="I409" s="5" t="s">
        <v>1531</v>
      </c>
      <c r="J409" s="4" t="n">
        <v>0.92</v>
      </c>
      <c r="K409" s="4"/>
      <c r="L409" s="4" t="s">
        <v>253</v>
      </c>
      <c r="M409" s="5"/>
      <c r="N409" s="4" t="s">
        <v>27</v>
      </c>
      <c r="O409" s="5" t="s">
        <v>1497</v>
      </c>
    </row>
    <row r="410" customFormat="false" ht="60" hidden="false" customHeight="true" outlineLevel="0" collapsed="false">
      <c r="A410" s="7" t="s">
        <v>1532</v>
      </c>
      <c r="B410" s="8" t="s">
        <v>1396</v>
      </c>
      <c r="C410" s="8" t="s">
        <v>1533</v>
      </c>
      <c r="D410" s="8" t="s">
        <v>1534</v>
      </c>
      <c r="E410" s="8" t="s">
        <v>1535</v>
      </c>
      <c r="F410" s="7" t="s">
        <v>22</v>
      </c>
      <c r="G410" s="7" t="s">
        <v>1494</v>
      </c>
      <c r="H410" s="9" t="s">
        <v>1495</v>
      </c>
      <c r="I410" s="8" t="s">
        <v>1536</v>
      </c>
      <c r="J410" s="7" t="n">
        <v>1.34</v>
      </c>
      <c r="K410" s="7"/>
      <c r="L410" s="7" t="s">
        <v>26</v>
      </c>
      <c r="M410" s="8"/>
      <c r="N410" s="7" t="s">
        <v>27</v>
      </c>
      <c r="O410" s="8" t="s">
        <v>1537</v>
      </c>
    </row>
    <row r="411" customFormat="false" ht="60" hidden="false" customHeight="true" outlineLevel="0" collapsed="false">
      <c r="A411" s="4" t="s">
        <v>1538</v>
      </c>
      <c r="B411" s="5" t="s">
        <v>1396</v>
      </c>
      <c r="C411" s="5" t="s">
        <v>1533</v>
      </c>
      <c r="D411" s="5" t="s">
        <v>1539</v>
      </c>
      <c r="E411" s="5" t="s">
        <v>1540</v>
      </c>
      <c r="F411" s="4" t="s">
        <v>22</v>
      </c>
      <c r="G411" s="4" t="s">
        <v>1494</v>
      </c>
      <c r="H411" s="6" t="s">
        <v>1495</v>
      </c>
      <c r="I411" s="5" t="s">
        <v>1541</v>
      </c>
      <c r="J411" s="4" t="n">
        <v>1.08</v>
      </c>
      <c r="K411" s="4"/>
      <c r="L411" s="4" t="s">
        <v>26</v>
      </c>
      <c r="M411" s="5"/>
      <c r="N411" s="4" t="s">
        <v>27</v>
      </c>
      <c r="O411" s="5" t="s">
        <v>1537</v>
      </c>
    </row>
    <row r="412" customFormat="false" ht="60" hidden="false" customHeight="true" outlineLevel="0" collapsed="false">
      <c r="A412" s="7" t="s">
        <v>1542</v>
      </c>
      <c r="B412" s="8" t="s">
        <v>1396</v>
      </c>
      <c r="C412" s="8" t="s">
        <v>1533</v>
      </c>
      <c r="D412" s="8" t="s">
        <v>1543</v>
      </c>
      <c r="E412" s="8" t="s">
        <v>1544</v>
      </c>
      <c r="F412" s="7" t="s">
        <v>36</v>
      </c>
      <c r="G412" s="7" t="s">
        <v>1494</v>
      </c>
      <c r="H412" s="9" t="s">
        <v>1495</v>
      </c>
      <c r="I412" s="8" t="s">
        <v>1545</v>
      </c>
      <c r="J412" s="7" t="n">
        <v>1.17</v>
      </c>
      <c r="K412" s="7"/>
      <c r="L412" s="7" t="s">
        <v>26</v>
      </c>
      <c r="M412" s="8"/>
      <c r="N412" s="7" t="s">
        <v>27</v>
      </c>
      <c r="O412" s="8" t="s">
        <v>1537</v>
      </c>
    </row>
    <row r="413" customFormat="false" ht="60" hidden="false" customHeight="true" outlineLevel="0" collapsed="false">
      <c r="A413" s="4" t="s">
        <v>1546</v>
      </c>
      <c r="B413" s="5" t="s">
        <v>1396</v>
      </c>
      <c r="C413" s="5" t="s">
        <v>1533</v>
      </c>
      <c r="D413" s="5" t="s">
        <v>1547</v>
      </c>
      <c r="E413" s="5" t="s">
        <v>1548</v>
      </c>
      <c r="F413" s="4" t="s">
        <v>36</v>
      </c>
      <c r="G413" s="4" t="s">
        <v>1494</v>
      </c>
      <c r="H413" s="6" t="s">
        <v>1495</v>
      </c>
      <c r="I413" s="5" t="s">
        <v>1549</v>
      </c>
      <c r="J413" s="4" t="n">
        <v>3.14</v>
      </c>
      <c r="K413" s="4"/>
      <c r="L413" s="4" t="s">
        <v>26</v>
      </c>
      <c r="M413" s="5"/>
      <c r="N413" s="4" t="s">
        <v>27</v>
      </c>
      <c r="O413" s="5" t="s">
        <v>1537</v>
      </c>
    </row>
    <row r="414" customFormat="false" ht="60" hidden="false" customHeight="true" outlineLevel="0" collapsed="false">
      <c r="A414" s="7" t="s">
        <v>1550</v>
      </c>
      <c r="B414" s="8" t="s">
        <v>1396</v>
      </c>
      <c r="C414" s="8" t="s">
        <v>1533</v>
      </c>
      <c r="D414" s="8" t="s">
        <v>1551</v>
      </c>
      <c r="E414" s="8" t="s">
        <v>1552</v>
      </c>
      <c r="F414" s="7" t="s">
        <v>36</v>
      </c>
      <c r="G414" s="7" t="s">
        <v>1494</v>
      </c>
      <c r="H414" s="9" t="s">
        <v>1495</v>
      </c>
      <c r="I414" s="8" t="s">
        <v>1553</v>
      </c>
      <c r="J414" s="7" t="n">
        <v>1.34</v>
      </c>
      <c r="K414" s="7"/>
      <c r="L414" s="7" t="s">
        <v>26</v>
      </c>
      <c r="M414" s="8"/>
      <c r="N414" s="7" t="s">
        <v>27</v>
      </c>
      <c r="O414" s="8" t="s">
        <v>1537</v>
      </c>
    </row>
    <row r="415" customFormat="false" ht="60" hidden="false" customHeight="true" outlineLevel="0" collapsed="false">
      <c r="A415" s="4" t="s">
        <v>1554</v>
      </c>
      <c r="B415" s="5" t="s">
        <v>1396</v>
      </c>
      <c r="C415" s="5" t="s">
        <v>1533</v>
      </c>
      <c r="D415" s="5" t="s">
        <v>1555</v>
      </c>
      <c r="E415" s="5" t="s">
        <v>1556</v>
      </c>
      <c r="F415" s="4" t="s">
        <v>67</v>
      </c>
      <c r="G415" s="4" t="s">
        <v>1494</v>
      </c>
      <c r="H415" s="6" t="s">
        <v>1495</v>
      </c>
      <c r="I415" s="5" t="s">
        <v>1557</v>
      </c>
      <c r="J415" s="4" t="n">
        <v>0.9</v>
      </c>
      <c r="K415" s="4"/>
      <c r="L415" s="4" t="s">
        <v>26</v>
      </c>
      <c r="M415" s="5"/>
      <c r="N415" s="4" t="s">
        <v>27</v>
      </c>
      <c r="O415" s="5" t="s">
        <v>1537</v>
      </c>
    </row>
    <row r="416" customFormat="false" ht="60" hidden="false" customHeight="true" outlineLevel="0" collapsed="false">
      <c r="A416" s="7" t="s">
        <v>1558</v>
      </c>
      <c r="B416" s="8" t="s">
        <v>1396</v>
      </c>
      <c r="C416" s="8" t="s">
        <v>1533</v>
      </c>
      <c r="D416" s="8" t="s">
        <v>1559</v>
      </c>
      <c r="E416" s="8" t="s">
        <v>1560</v>
      </c>
      <c r="F416" s="7" t="s">
        <v>53</v>
      </c>
      <c r="G416" s="7" t="s">
        <v>1494</v>
      </c>
      <c r="H416" s="9" t="s">
        <v>1495</v>
      </c>
      <c r="I416" s="8" t="s">
        <v>1561</v>
      </c>
      <c r="J416" s="7" t="n">
        <v>1.52</v>
      </c>
      <c r="K416" s="7"/>
      <c r="L416" s="7" t="s">
        <v>26</v>
      </c>
      <c r="M416" s="8"/>
      <c r="N416" s="7" t="s">
        <v>27</v>
      </c>
      <c r="O416" s="8" t="s">
        <v>1537</v>
      </c>
    </row>
    <row r="417" customFormat="false" ht="60" hidden="false" customHeight="true" outlineLevel="0" collapsed="false">
      <c r="A417" s="4" t="s">
        <v>1562</v>
      </c>
      <c r="B417" s="5" t="s">
        <v>1396</v>
      </c>
      <c r="C417" s="5" t="s">
        <v>1533</v>
      </c>
      <c r="D417" s="5" t="s">
        <v>1563</v>
      </c>
      <c r="E417" s="5" t="s">
        <v>1564</v>
      </c>
      <c r="F417" s="4" t="s">
        <v>58</v>
      </c>
      <c r="G417" s="4" t="s">
        <v>1494</v>
      </c>
      <c r="H417" s="6" t="s">
        <v>1495</v>
      </c>
      <c r="I417" s="5" t="s">
        <v>1565</v>
      </c>
      <c r="J417" s="4" t="n">
        <v>1.18</v>
      </c>
      <c r="K417" s="4"/>
      <c r="L417" s="4" t="s">
        <v>26</v>
      </c>
      <c r="M417" s="5"/>
      <c r="N417" s="4" t="s">
        <v>27</v>
      </c>
      <c r="O417" s="5" t="s">
        <v>1537</v>
      </c>
    </row>
    <row r="418" customFormat="false" ht="60" hidden="false" customHeight="true" outlineLevel="0" collapsed="false">
      <c r="A418" s="7" t="s">
        <v>1566</v>
      </c>
      <c r="B418" s="8" t="s">
        <v>1396</v>
      </c>
      <c r="C418" s="8" t="s">
        <v>1533</v>
      </c>
      <c r="D418" s="8" t="s">
        <v>1567</v>
      </c>
      <c r="E418" s="8" t="s">
        <v>1568</v>
      </c>
      <c r="F418" s="7" t="s">
        <v>67</v>
      </c>
      <c r="G418" s="7" t="s">
        <v>1494</v>
      </c>
      <c r="H418" s="9" t="s">
        <v>1495</v>
      </c>
      <c r="I418" s="8" t="s">
        <v>1569</v>
      </c>
      <c r="J418" s="7" t="n">
        <v>0.68</v>
      </c>
      <c r="K418" s="7"/>
      <c r="L418" s="7" t="s">
        <v>26</v>
      </c>
      <c r="M418" s="8"/>
      <c r="N418" s="7" t="s">
        <v>27</v>
      </c>
      <c r="O418" s="8" t="s">
        <v>1537</v>
      </c>
    </row>
    <row r="419" customFormat="false" ht="60" hidden="false" customHeight="true" outlineLevel="0" collapsed="false">
      <c r="A419" s="4" t="s">
        <v>1570</v>
      </c>
      <c r="B419" s="5" t="s">
        <v>1396</v>
      </c>
      <c r="C419" s="5" t="s">
        <v>1533</v>
      </c>
      <c r="D419" s="5" t="s">
        <v>1571</v>
      </c>
      <c r="E419" s="5" t="s">
        <v>1572</v>
      </c>
      <c r="F419" s="4" t="s">
        <v>76</v>
      </c>
      <c r="G419" s="4" t="s">
        <v>1494</v>
      </c>
      <c r="H419" s="6" t="s">
        <v>1495</v>
      </c>
      <c r="I419" s="5" t="s">
        <v>1573</v>
      </c>
      <c r="J419" s="4" t="n">
        <v>1.19</v>
      </c>
      <c r="K419" s="4"/>
      <c r="L419" s="4" t="s">
        <v>26</v>
      </c>
      <c r="M419" s="5"/>
      <c r="N419" s="4" t="s">
        <v>27</v>
      </c>
      <c r="O419" s="5" t="s">
        <v>1537</v>
      </c>
    </row>
    <row r="420" customFormat="false" ht="60" hidden="false" customHeight="true" outlineLevel="0" collapsed="false">
      <c r="A420" s="7" t="s">
        <v>1574</v>
      </c>
      <c r="B420" s="8" t="s">
        <v>1575</v>
      </c>
      <c r="C420" s="8" t="s">
        <v>1576</v>
      </c>
      <c r="D420" s="8" t="s">
        <v>336</v>
      </c>
      <c r="E420" s="8" t="s">
        <v>1577</v>
      </c>
      <c r="F420" s="7" t="s">
        <v>22</v>
      </c>
      <c r="G420" s="7" t="s">
        <v>1494</v>
      </c>
      <c r="H420" s="9" t="s">
        <v>1495</v>
      </c>
      <c r="I420" s="8" t="s">
        <v>1578</v>
      </c>
      <c r="J420" s="7" t="n">
        <v>0.81</v>
      </c>
      <c r="K420" s="7"/>
      <c r="L420" s="7" t="s">
        <v>26</v>
      </c>
      <c r="M420" s="8"/>
      <c r="N420" s="7" t="s">
        <v>27</v>
      </c>
      <c r="O420" s="8" t="s">
        <v>1579</v>
      </c>
    </row>
    <row r="421" customFormat="false" ht="60" hidden="false" customHeight="true" outlineLevel="0" collapsed="false">
      <c r="A421" s="4" t="s">
        <v>1580</v>
      </c>
      <c r="B421" s="5" t="s">
        <v>1575</v>
      </c>
      <c r="C421" s="5" t="s">
        <v>1576</v>
      </c>
      <c r="D421" s="5" t="s">
        <v>341</v>
      </c>
      <c r="E421" s="5" t="s">
        <v>1581</v>
      </c>
      <c r="F421" s="4" t="s">
        <v>22</v>
      </c>
      <c r="G421" s="4" t="s">
        <v>1494</v>
      </c>
      <c r="H421" s="6" t="s">
        <v>1495</v>
      </c>
      <c r="I421" s="5" t="s">
        <v>1582</v>
      </c>
      <c r="J421" s="4" t="n">
        <v>0.65</v>
      </c>
      <c r="K421" s="4"/>
      <c r="L421" s="4" t="s">
        <v>26</v>
      </c>
      <c r="M421" s="5"/>
      <c r="N421" s="4" t="s">
        <v>27</v>
      </c>
      <c r="O421" s="5" t="s">
        <v>1579</v>
      </c>
    </row>
    <row r="422" customFormat="false" ht="60" hidden="false" customHeight="true" outlineLevel="0" collapsed="false">
      <c r="A422" s="7" t="s">
        <v>1583</v>
      </c>
      <c r="B422" s="8" t="s">
        <v>1575</v>
      </c>
      <c r="C422" s="8" t="s">
        <v>1576</v>
      </c>
      <c r="D422" s="8" t="s">
        <v>345</v>
      </c>
      <c r="E422" s="8" t="s">
        <v>1584</v>
      </c>
      <c r="F422" s="7" t="s">
        <v>36</v>
      </c>
      <c r="G422" s="7" t="s">
        <v>1494</v>
      </c>
      <c r="H422" s="9" t="s">
        <v>1495</v>
      </c>
      <c r="I422" s="8" t="s">
        <v>1585</v>
      </c>
      <c r="J422" s="7" t="n">
        <v>0.7</v>
      </c>
      <c r="K422" s="7"/>
      <c r="L422" s="7" t="s">
        <v>26</v>
      </c>
      <c r="M422" s="8"/>
      <c r="N422" s="7" t="s">
        <v>27</v>
      </c>
      <c r="O422" s="8" t="s">
        <v>1579</v>
      </c>
    </row>
    <row r="423" customFormat="false" ht="60" hidden="false" customHeight="true" outlineLevel="0" collapsed="false">
      <c r="A423" s="4" t="s">
        <v>1586</v>
      </c>
      <c r="B423" s="5" t="s">
        <v>1575</v>
      </c>
      <c r="C423" s="5" t="s">
        <v>1576</v>
      </c>
      <c r="D423" s="5" t="s">
        <v>1587</v>
      </c>
      <c r="E423" s="5" t="s">
        <v>1588</v>
      </c>
      <c r="F423" s="4" t="s">
        <v>36</v>
      </c>
      <c r="G423" s="4" t="s">
        <v>1494</v>
      </c>
      <c r="H423" s="6" t="s">
        <v>1495</v>
      </c>
      <c r="I423" s="5" t="s">
        <v>1589</v>
      </c>
      <c r="J423" s="4" t="n">
        <v>1.88</v>
      </c>
      <c r="K423" s="4"/>
      <c r="L423" s="4" t="s">
        <v>26</v>
      </c>
      <c r="M423" s="5"/>
      <c r="N423" s="4" t="s">
        <v>27</v>
      </c>
      <c r="O423" s="5" t="s">
        <v>1579</v>
      </c>
    </row>
    <row r="424" customFormat="false" ht="60" hidden="false" customHeight="true" outlineLevel="0" collapsed="false">
      <c r="A424" s="7" t="s">
        <v>1590</v>
      </c>
      <c r="B424" s="8" t="s">
        <v>1575</v>
      </c>
      <c r="C424" s="8" t="s">
        <v>1576</v>
      </c>
      <c r="D424" s="8" t="s">
        <v>1591</v>
      </c>
      <c r="E424" s="8" t="s">
        <v>1592</v>
      </c>
      <c r="F424" s="7" t="s">
        <v>36</v>
      </c>
      <c r="G424" s="7" t="s">
        <v>1494</v>
      </c>
      <c r="H424" s="9" t="s">
        <v>1495</v>
      </c>
      <c r="I424" s="8" t="s">
        <v>1593</v>
      </c>
      <c r="J424" s="7" t="n">
        <v>0.81</v>
      </c>
      <c r="K424" s="7"/>
      <c r="L424" s="7" t="s">
        <v>26</v>
      </c>
      <c r="M424" s="8"/>
      <c r="N424" s="7" t="s">
        <v>27</v>
      </c>
      <c r="O424" s="8" t="s">
        <v>1579</v>
      </c>
    </row>
    <row r="425" customFormat="false" ht="60" hidden="false" customHeight="true" outlineLevel="0" collapsed="false">
      <c r="A425" s="4" t="s">
        <v>1594</v>
      </c>
      <c r="B425" s="5" t="s">
        <v>1575</v>
      </c>
      <c r="C425" s="5" t="s">
        <v>1576</v>
      </c>
      <c r="D425" s="5" t="s">
        <v>1595</v>
      </c>
      <c r="E425" s="5" t="s">
        <v>1596</v>
      </c>
      <c r="F425" s="4" t="s">
        <v>67</v>
      </c>
      <c r="G425" s="4" t="s">
        <v>1494</v>
      </c>
      <c r="H425" s="6" t="s">
        <v>1495</v>
      </c>
      <c r="I425" s="5" t="s">
        <v>1597</v>
      </c>
      <c r="J425" s="4" t="n">
        <v>0.54</v>
      </c>
      <c r="K425" s="4"/>
      <c r="L425" s="4" t="s">
        <v>26</v>
      </c>
      <c r="M425" s="5"/>
      <c r="N425" s="4" t="s">
        <v>27</v>
      </c>
      <c r="O425" s="5" t="s">
        <v>1579</v>
      </c>
    </row>
    <row r="426" customFormat="false" ht="60" hidden="false" customHeight="true" outlineLevel="0" collapsed="false">
      <c r="A426" s="7" t="s">
        <v>1598</v>
      </c>
      <c r="B426" s="8" t="s">
        <v>1575</v>
      </c>
      <c r="C426" s="8" t="s">
        <v>1576</v>
      </c>
      <c r="D426" s="8" t="s">
        <v>1599</v>
      </c>
      <c r="E426" s="8" t="s">
        <v>1600</v>
      </c>
      <c r="F426" s="7" t="s">
        <v>53</v>
      </c>
      <c r="G426" s="7" t="s">
        <v>1494</v>
      </c>
      <c r="H426" s="9" t="s">
        <v>1495</v>
      </c>
      <c r="I426" s="8" t="s">
        <v>1601</v>
      </c>
      <c r="J426" s="7" t="n">
        <v>0.91</v>
      </c>
      <c r="K426" s="7"/>
      <c r="L426" s="7" t="s">
        <v>26</v>
      </c>
      <c r="M426" s="8"/>
      <c r="N426" s="7" t="s">
        <v>27</v>
      </c>
      <c r="O426" s="8" t="s">
        <v>1579</v>
      </c>
    </row>
    <row r="427" customFormat="false" ht="60" hidden="false" customHeight="true" outlineLevel="0" collapsed="false">
      <c r="A427" s="4" t="s">
        <v>1602</v>
      </c>
      <c r="B427" s="5" t="s">
        <v>1575</v>
      </c>
      <c r="C427" s="5" t="s">
        <v>1576</v>
      </c>
      <c r="D427" s="5" t="s">
        <v>1603</v>
      </c>
      <c r="E427" s="5" t="s">
        <v>1604</v>
      </c>
      <c r="F427" s="4" t="s">
        <v>58</v>
      </c>
      <c r="G427" s="4" t="s">
        <v>1494</v>
      </c>
      <c r="H427" s="6" t="s">
        <v>1495</v>
      </c>
      <c r="I427" s="5" t="s">
        <v>1605</v>
      </c>
      <c r="J427" s="4" t="n">
        <v>0.71</v>
      </c>
      <c r="K427" s="4"/>
      <c r="L427" s="4" t="s">
        <v>26</v>
      </c>
      <c r="M427" s="5"/>
      <c r="N427" s="4" t="s">
        <v>27</v>
      </c>
      <c r="O427" s="5" t="s">
        <v>1579</v>
      </c>
    </row>
    <row r="428" customFormat="false" ht="60" hidden="false" customHeight="true" outlineLevel="0" collapsed="false">
      <c r="A428" s="7" t="s">
        <v>1606</v>
      </c>
      <c r="B428" s="8" t="s">
        <v>1575</v>
      </c>
      <c r="C428" s="8" t="s">
        <v>1576</v>
      </c>
      <c r="D428" s="8" t="s">
        <v>1607</v>
      </c>
      <c r="E428" s="8" t="s">
        <v>1608</v>
      </c>
      <c r="F428" s="7" t="s">
        <v>67</v>
      </c>
      <c r="G428" s="7" t="s">
        <v>1494</v>
      </c>
      <c r="H428" s="9" t="s">
        <v>1495</v>
      </c>
      <c r="I428" s="8" t="s">
        <v>1609</v>
      </c>
      <c r="J428" s="7" t="n">
        <v>0.41</v>
      </c>
      <c r="K428" s="7"/>
      <c r="L428" s="7" t="s">
        <v>26</v>
      </c>
      <c r="M428" s="8"/>
      <c r="N428" s="7" t="s">
        <v>27</v>
      </c>
      <c r="O428" s="8" t="s">
        <v>1579</v>
      </c>
    </row>
    <row r="429" customFormat="false" ht="60" hidden="false" customHeight="true" outlineLevel="0" collapsed="false">
      <c r="A429" s="4" t="s">
        <v>1610</v>
      </c>
      <c r="B429" s="5" t="s">
        <v>1575</v>
      </c>
      <c r="C429" s="5" t="s">
        <v>1576</v>
      </c>
      <c r="D429" s="5" t="s">
        <v>1611</v>
      </c>
      <c r="E429" s="5" t="s">
        <v>1612</v>
      </c>
      <c r="F429" s="4" t="s">
        <v>76</v>
      </c>
      <c r="G429" s="4" t="s">
        <v>1494</v>
      </c>
      <c r="H429" s="6" t="s">
        <v>1495</v>
      </c>
      <c r="I429" s="5" t="s">
        <v>1613</v>
      </c>
      <c r="J429" s="4" t="n">
        <v>0.71</v>
      </c>
      <c r="K429" s="4"/>
      <c r="L429" s="4" t="s">
        <v>26</v>
      </c>
      <c r="M429" s="5"/>
      <c r="N429" s="4" t="s">
        <v>27</v>
      </c>
      <c r="O429" s="5" t="s">
        <v>1579</v>
      </c>
    </row>
    <row r="430" customFormat="false" ht="60" hidden="false" customHeight="true" outlineLevel="0" collapsed="false">
      <c r="A430" s="7" t="s">
        <v>1614</v>
      </c>
      <c r="B430" s="8" t="s">
        <v>1575</v>
      </c>
      <c r="C430" s="8" t="s">
        <v>1615</v>
      </c>
      <c r="D430" s="8" t="s">
        <v>1616</v>
      </c>
      <c r="E430" s="8" t="s">
        <v>1617</v>
      </c>
      <c r="F430" s="7" t="s">
        <v>22</v>
      </c>
      <c r="G430" s="7" t="s">
        <v>1494</v>
      </c>
      <c r="H430" s="9" t="s">
        <v>1495</v>
      </c>
      <c r="I430" s="8" t="s">
        <v>1618</v>
      </c>
      <c r="J430" s="7" t="n">
        <v>1.03</v>
      </c>
      <c r="K430" s="7"/>
      <c r="L430" s="7" t="s">
        <v>26</v>
      </c>
      <c r="M430" s="8"/>
      <c r="N430" s="7" t="s">
        <v>27</v>
      </c>
      <c r="O430" s="8" t="s">
        <v>1619</v>
      </c>
    </row>
    <row r="431" customFormat="false" ht="60" hidden="false" customHeight="true" outlineLevel="0" collapsed="false">
      <c r="A431" s="4" t="s">
        <v>1620</v>
      </c>
      <c r="B431" s="5" t="s">
        <v>1575</v>
      </c>
      <c r="C431" s="5" t="s">
        <v>1615</v>
      </c>
      <c r="D431" s="5" t="s">
        <v>1621</v>
      </c>
      <c r="E431" s="5" t="s">
        <v>1622</v>
      </c>
      <c r="F431" s="4" t="s">
        <v>22</v>
      </c>
      <c r="G431" s="4" t="s">
        <v>1494</v>
      </c>
      <c r="H431" s="6" t="s">
        <v>1495</v>
      </c>
      <c r="I431" s="5" t="s">
        <v>1623</v>
      </c>
      <c r="J431" s="4" t="n">
        <v>0.83</v>
      </c>
      <c r="K431" s="4"/>
      <c r="L431" s="4" t="s">
        <v>26</v>
      </c>
      <c r="M431" s="5"/>
      <c r="N431" s="4" t="s">
        <v>27</v>
      </c>
      <c r="O431" s="5" t="s">
        <v>1619</v>
      </c>
    </row>
    <row r="432" customFormat="false" ht="60" hidden="false" customHeight="true" outlineLevel="0" collapsed="false">
      <c r="A432" s="7" t="s">
        <v>1624</v>
      </c>
      <c r="B432" s="8" t="s">
        <v>1575</v>
      </c>
      <c r="C432" s="8" t="s">
        <v>1615</v>
      </c>
      <c r="D432" s="8" t="s">
        <v>1625</v>
      </c>
      <c r="E432" s="8" t="s">
        <v>1626</v>
      </c>
      <c r="F432" s="7" t="s">
        <v>36</v>
      </c>
      <c r="G432" s="7" t="s">
        <v>1494</v>
      </c>
      <c r="H432" s="9" t="s">
        <v>1495</v>
      </c>
      <c r="I432" s="8" t="s">
        <v>1627</v>
      </c>
      <c r="J432" s="7" t="n">
        <v>0.89</v>
      </c>
      <c r="K432" s="7"/>
      <c r="L432" s="7" t="s">
        <v>26</v>
      </c>
      <c r="M432" s="8"/>
      <c r="N432" s="7" t="s">
        <v>27</v>
      </c>
      <c r="O432" s="8" t="s">
        <v>1619</v>
      </c>
    </row>
    <row r="433" customFormat="false" ht="60" hidden="false" customHeight="true" outlineLevel="0" collapsed="false">
      <c r="A433" s="4" t="s">
        <v>1628</v>
      </c>
      <c r="B433" s="5" t="s">
        <v>1575</v>
      </c>
      <c r="C433" s="5" t="s">
        <v>1615</v>
      </c>
      <c r="D433" s="5" t="s">
        <v>1629</v>
      </c>
      <c r="E433" s="5" t="s">
        <v>1630</v>
      </c>
      <c r="F433" s="4" t="s">
        <v>36</v>
      </c>
      <c r="G433" s="4" t="s">
        <v>1494</v>
      </c>
      <c r="H433" s="6" t="s">
        <v>1495</v>
      </c>
      <c r="I433" s="5" t="s">
        <v>1631</v>
      </c>
      <c r="J433" s="4" t="n">
        <v>2.41</v>
      </c>
      <c r="K433" s="4"/>
      <c r="L433" s="4" t="s">
        <v>26</v>
      </c>
      <c r="M433" s="5"/>
      <c r="N433" s="4" t="s">
        <v>27</v>
      </c>
      <c r="O433" s="5" t="s">
        <v>1619</v>
      </c>
    </row>
    <row r="434" customFormat="false" ht="60" hidden="false" customHeight="true" outlineLevel="0" collapsed="false">
      <c r="A434" s="7" t="s">
        <v>1632</v>
      </c>
      <c r="B434" s="8" t="s">
        <v>1575</v>
      </c>
      <c r="C434" s="8" t="s">
        <v>1615</v>
      </c>
      <c r="D434" s="8" t="s">
        <v>1633</v>
      </c>
      <c r="E434" s="8" t="s">
        <v>1634</v>
      </c>
      <c r="F434" s="7" t="s">
        <v>36</v>
      </c>
      <c r="G434" s="7" t="s">
        <v>1494</v>
      </c>
      <c r="H434" s="9" t="s">
        <v>1495</v>
      </c>
      <c r="I434" s="8" t="s">
        <v>1635</v>
      </c>
      <c r="J434" s="7" t="n">
        <v>1.03</v>
      </c>
      <c r="K434" s="7"/>
      <c r="L434" s="7" t="s">
        <v>26</v>
      </c>
      <c r="M434" s="8"/>
      <c r="N434" s="7" t="s">
        <v>27</v>
      </c>
      <c r="O434" s="8" t="s">
        <v>1619</v>
      </c>
    </row>
    <row r="435" customFormat="false" ht="60" hidden="false" customHeight="true" outlineLevel="0" collapsed="false">
      <c r="A435" s="4" t="s">
        <v>1636</v>
      </c>
      <c r="B435" s="5" t="s">
        <v>1575</v>
      </c>
      <c r="C435" s="5" t="s">
        <v>1615</v>
      </c>
      <c r="D435" s="5" t="s">
        <v>1637</v>
      </c>
      <c r="E435" s="5" t="s">
        <v>1638</v>
      </c>
      <c r="F435" s="4" t="s">
        <v>67</v>
      </c>
      <c r="G435" s="4" t="s">
        <v>1494</v>
      </c>
      <c r="H435" s="6" t="s">
        <v>1495</v>
      </c>
      <c r="I435" s="5" t="s">
        <v>1639</v>
      </c>
      <c r="J435" s="4" t="n">
        <v>0.69</v>
      </c>
      <c r="K435" s="4"/>
      <c r="L435" s="4" t="s">
        <v>26</v>
      </c>
      <c r="M435" s="5"/>
      <c r="N435" s="4" t="s">
        <v>27</v>
      </c>
      <c r="O435" s="5" t="s">
        <v>1619</v>
      </c>
    </row>
    <row r="436" customFormat="false" ht="60" hidden="false" customHeight="true" outlineLevel="0" collapsed="false">
      <c r="A436" s="7" t="s">
        <v>1640</v>
      </c>
      <c r="B436" s="8" t="s">
        <v>1575</v>
      </c>
      <c r="C436" s="8" t="s">
        <v>1615</v>
      </c>
      <c r="D436" s="8" t="s">
        <v>1641</v>
      </c>
      <c r="E436" s="8" t="s">
        <v>1642</v>
      </c>
      <c r="F436" s="7" t="s">
        <v>53</v>
      </c>
      <c r="G436" s="7" t="s">
        <v>1494</v>
      </c>
      <c r="H436" s="9" t="s">
        <v>1495</v>
      </c>
      <c r="I436" s="8" t="s">
        <v>1643</v>
      </c>
      <c r="J436" s="7" t="n">
        <v>0.35</v>
      </c>
      <c r="K436" s="7"/>
      <c r="L436" s="7" t="s">
        <v>26</v>
      </c>
      <c r="M436" s="8"/>
      <c r="N436" s="7" t="s">
        <v>27</v>
      </c>
      <c r="O436" s="8" t="s">
        <v>1619</v>
      </c>
    </row>
    <row r="437" customFormat="false" ht="60" hidden="false" customHeight="true" outlineLevel="0" collapsed="false">
      <c r="A437" s="4" t="s">
        <v>1644</v>
      </c>
      <c r="B437" s="5" t="s">
        <v>1575</v>
      </c>
      <c r="C437" s="5" t="s">
        <v>1615</v>
      </c>
      <c r="D437" s="5" t="s">
        <v>1645</v>
      </c>
      <c r="E437" s="5" t="s">
        <v>1646</v>
      </c>
      <c r="F437" s="4" t="s">
        <v>58</v>
      </c>
      <c r="G437" s="4" t="s">
        <v>1494</v>
      </c>
      <c r="H437" s="6" t="s">
        <v>1495</v>
      </c>
      <c r="I437" s="5" t="s">
        <v>1647</v>
      </c>
      <c r="J437" s="4" t="n">
        <v>0.27</v>
      </c>
      <c r="K437" s="4"/>
      <c r="L437" s="4" t="s">
        <v>26</v>
      </c>
      <c r="M437" s="5"/>
      <c r="N437" s="4" t="s">
        <v>27</v>
      </c>
      <c r="O437" s="5" t="s">
        <v>1619</v>
      </c>
    </row>
    <row r="438" customFormat="false" ht="60" hidden="false" customHeight="true" outlineLevel="0" collapsed="false">
      <c r="A438" s="7" t="s">
        <v>1648</v>
      </c>
      <c r="B438" s="8" t="s">
        <v>1575</v>
      </c>
      <c r="C438" s="8" t="s">
        <v>1615</v>
      </c>
      <c r="D438" s="8" t="s">
        <v>1649</v>
      </c>
      <c r="E438" s="8" t="s">
        <v>1650</v>
      </c>
      <c r="F438" s="7" t="s">
        <v>67</v>
      </c>
      <c r="G438" s="7" t="s">
        <v>1494</v>
      </c>
      <c r="H438" s="9" t="s">
        <v>1495</v>
      </c>
      <c r="I438" s="8" t="s">
        <v>1651</v>
      </c>
      <c r="J438" s="7" t="n">
        <v>0.16</v>
      </c>
      <c r="K438" s="7"/>
      <c r="L438" s="7" t="s">
        <v>26</v>
      </c>
      <c r="M438" s="8"/>
      <c r="N438" s="7" t="s">
        <v>27</v>
      </c>
      <c r="O438" s="8" t="s">
        <v>1619</v>
      </c>
    </row>
    <row r="439" customFormat="false" ht="60" hidden="false" customHeight="true" outlineLevel="0" collapsed="false">
      <c r="A439" s="4" t="s">
        <v>1652</v>
      </c>
      <c r="B439" s="5" t="s">
        <v>1575</v>
      </c>
      <c r="C439" s="5" t="s">
        <v>1615</v>
      </c>
      <c r="D439" s="5" t="s">
        <v>1653</v>
      </c>
      <c r="E439" s="5" t="s">
        <v>1654</v>
      </c>
      <c r="F439" s="4" t="s">
        <v>76</v>
      </c>
      <c r="G439" s="4" t="s">
        <v>1494</v>
      </c>
      <c r="H439" s="6" t="s">
        <v>1495</v>
      </c>
      <c r="I439" s="5" t="s">
        <v>1655</v>
      </c>
      <c r="J439" s="4" t="n">
        <v>0.45</v>
      </c>
      <c r="K439" s="4"/>
      <c r="L439" s="4" t="s">
        <v>26</v>
      </c>
      <c r="M439" s="5"/>
      <c r="N439" s="4" t="s">
        <v>27</v>
      </c>
      <c r="O439" s="5" t="s">
        <v>1619</v>
      </c>
    </row>
    <row r="440" customFormat="false" ht="60" hidden="false" customHeight="true" outlineLevel="0" collapsed="false">
      <c r="A440" s="7" t="s">
        <v>1656</v>
      </c>
      <c r="B440" s="8" t="s">
        <v>1575</v>
      </c>
      <c r="C440" s="8" t="s">
        <v>1657</v>
      </c>
      <c r="D440" s="8" t="s">
        <v>1658</v>
      </c>
      <c r="E440" s="8" t="s">
        <v>1659</v>
      </c>
      <c r="F440" s="7" t="s">
        <v>22</v>
      </c>
      <c r="G440" s="7" t="s">
        <v>1494</v>
      </c>
      <c r="H440" s="9" t="s">
        <v>1495</v>
      </c>
      <c r="I440" s="8" t="s">
        <v>1660</v>
      </c>
      <c r="J440" s="7" t="n">
        <v>1.34</v>
      </c>
      <c r="K440" s="7"/>
      <c r="L440" s="7" t="s">
        <v>26</v>
      </c>
      <c r="M440" s="8"/>
      <c r="N440" s="7" t="s">
        <v>27</v>
      </c>
      <c r="O440" s="8" t="s">
        <v>1661</v>
      </c>
    </row>
    <row r="441" customFormat="false" ht="60" hidden="false" customHeight="true" outlineLevel="0" collapsed="false">
      <c r="A441" s="4" t="s">
        <v>1662</v>
      </c>
      <c r="B441" s="5" t="s">
        <v>1575</v>
      </c>
      <c r="C441" s="5" t="s">
        <v>1657</v>
      </c>
      <c r="D441" s="5" t="s">
        <v>1663</v>
      </c>
      <c r="E441" s="5" t="s">
        <v>1664</v>
      </c>
      <c r="F441" s="4" t="s">
        <v>22</v>
      </c>
      <c r="G441" s="4" t="s">
        <v>1494</v>
      </c>
      <c r="H441" s="6" t="s">
        <v>1495</v>
      </c>
      <c r="I441" s="5" t="s">
        <v>1665</v>
      </c>
      <c r="J441" s="4" t="n">
        <v>1.08</v>
      </c>
      <c r="K441" s="4"/>
      <c r="L441" s="4" t="s">
        <v>26</v>
      </c>
      <c r="M441" s="5"/>
      <c r="N441" s="4" t="s">
        <v>27</v>
      </c>
      <c r="O441" s="5" t="s">
        <v>1661</v>
      </c>
    </row>
    <row r="442" customFormat="false" ht="60" hidden="false" customHeight="true" outlineLevel="0" collapsed="false">
      <c r="A442" s="7" t="s">
        <v>1666</v>
      </c>
      <c r="B442" s="8" t="s">
        <v>1575</v>
      </c>
      <c r="C442" s="8" t="s">
        <v>1657</v>
      </c>
      <c r="D442" s="8" t="s">
        <v>1667</v>
      </c>
      <c r="E442" s="8" t="s">
        <v>1668</v>
      </c>
      <c r="F442" s="7" t="s">
        <v>36</v>
      </c>
      <c r="G442" s="7" t="s">
        <v>1494</v>
      </c>
      <c r="H442" s="9" t="s">
        <v>1495</v>
      </c>
      <c r="I442" s="8" t="s">
        <v>1669</v>
      </c>
      <c r="J442" s="7" t="n">
        <v>1.17</v>
      </c>
      <c r="K442" s="7"/>
      <c r="L442" s="7" t="s">
        <v>26</v>
      </c>
      <c r="M442" s="8"/>
      <c r="N442" s="7" t="s">
        <v>27</v>
      </c>
      <c r="O442" s="8" t="s">
        <v>1661</v>
      </c>
    </row>
    <row r="443" customFormat="false" ht="60" hidden="false" customHeight="true" outlineLevel="0" collapsed="false">
      <c r="A443" s="4" t="s">
        <v>1670</v>
      </c>
      <c r="B443" s="5" t="s">
        <v>1575</v>
      </c>
      <c r="C443" s="5" t="s">
        <v>1657</v>
      </c>
      <c r="D443" s="5" t="s">
        <v>1671</v>
      </c>
      <c r="E443" s="5" t="s">
        <v>1672</v>
      </c>
      <c r="F443" s="4" t="s">
        <v>36</v>
      </c>
      <c r="G443" s="4" t="s">
        <v>1494</v>
      </c>
      <c r="H443" s="6" t="s">
        <v>1495</v>
      </c>
      <c r="I443" s="5" t="s">
        <v>1673</v>
      </c>
      <c r="J443" s="4" t="n">
        <v>3.14</v>
      </c>
      <c r="K443" s="4"/>
      <c r="L443" s="4" t="s">
        <v>26</v>
      </c>
      <c r="M443" s="5"/>
      <c r="N443" s="4" t="s">
        <v>27</v>
      </c>
      <c r="O443" s="5" t="s">
        <v>1661</v>
      </c>
    </row>
    <row r="444" customFormat="false" ht="60" hidden="false" customHeight="true" outlineLevel="0" collapsed="false">
      <c r="A444" s="7" t="s">
        <v>1674</v>
      </c>
      <c r="B444" s="8" t="s">
        <v>1575</v>
      </c>
      <c r="C444" s="8" t="s">
        <v>1657</v>
      </c>
      <c r="D444" s="8" t="s">
        <v>1675</v>
      </c>
      <c r="E444" s="8" t="s">
        <v>1676</v>
      </c>
      <c r="F444" s="7" t="s">
        <v>36</v>
      </c>
      <c r="G444" s="7" t="s">
        <v>1494</v>
      </c>
      <c r="H444" s="9" t="s">
        <v>1495</v>
      </c>
      <c r="I444" s="8" t="s">
        <v>1677</v>
      </c>
      <c r="J444" s="7" t="n">
        <v>1.34</v>
      </c>
      <c r="K444" s="7"/>
      <c r="L444" s="7" t="s">
        <v>26</v>
      </c>
      <c r="M444" s="8"/>
      <c r="N444" s="7" t="s">
        <v>27</v>
      </c>
      <c r="O444" s="8" t="s">
        <v>1661</v>
      </c>
    </row>
    <row r="445" customFormat="false" ht="60" hidden="false" customHeight="true" outlineLevel="0" collapsed="false">
      <c r="A445" s="4" t="s">
        <v>1678</v>
      </c>
      <c r="B445" s="5" t="s">
        <v>1575</v>
      </c>
      <c r="C445" s="5" t="s">
        <v>1657</v>
      </c>
      <c r="D445" s="5" t="s">
        <v>1679</v>
      </c>
      <c r="E445" s="5" t="s">
        <v>1680</v>
      </c>
      <c r="F445" s="4" t="s">
        <v>67</v>
      </c>
      <c r="G445" s="4" t="s">
        <v>1494</v>
      </c>
      <c r="H445" s="6" t="s">
        <v>1495</v>
      </c>
      <c r="I445" s="5" t="s">
        <v>1681</v>
      </c>
      <c r="J445" s="4" t="n">
        <v>0.9</v>
      </c>
      <c r="K445" s="4"/>
      <c r="L445" s="4" t="s">
        <v>26</v>
      </c>
      <c r="M445" s="5"/>
      <c r="N445" s="4" t="s">
        <v>27</v>
      </c>
      <c r="O445" s="5" t="s">
        <v>1661</v>
      </c>
    </row>
    <row r="446" customFormat="false" ht="60" hidden="false" customHeight="true" outlineLevel="0" collapsed="false">
      <c r="A446" s="7" t="s">
        <v>1682</v>
      </c>
      <c r="B446" s="8" t="s">
        <v>1575</v>
      </c>
      <c r="C446" s="8" t="s">
        <v>1657</v>
      </c>
      <c r="D446" s="8" t="s">
        <v>1683</v>
      </c>
      <c r="E446" s="8" t="s">
        <v>1684</v>
      </c>
      <c r="F446" s="7" t="s">
        <v>53</v>
      </c>
      <c r="G446" s="7" t="s">
        <v>1494</v>
      </c>
      <c r="H446" s="9" t="s">
        <v>1495</v>
      </c>
      <c r="I446" s="8" t="s">
        <v>1685</v>
      </c>
      <c r="J446" s="7" t="n">
        <v>1.52</v>
      </c>
      <c r="K446" s="7"/>
      <c r="L446" s="7" t="s">
        <v>26</v>
      </c>
      <c r="M446" s="8"/>
      <c r="N446" s="7" t="s">
        <v>27</v>
      </c>
      <c r="O446" s="8" t="s">
        <v>1661</v>
      </c>
    </row>
    <row r="447" customFormat="false" ht="60" hidden="false" customHeight="true" outlineLevel="0" collapsed="false">
      <c r="A447" s="4" t="s">
        <v>1686</v>
      </c>
      <c r="B447" s="5" t="s">
        <v>1575</v>
      </c>
      <c r="C447" s="5" t="s">
        <v>1657</v>
      </c>
      <c r="D447" s="5" t="s">
        <v>1687</v>
      </c>
      <c r="E447" s="5" t="s">
        <v>1688</v>
      </c>
      <c r="F447" s="4" t="s">
        <v>58</v>
      </c>
      <c r="G447" s="4" t="s">
        <v>1494</v>
      </c>
      <c r="H447" s="6" t="s">
        <v>1495</v>
      </c>
      <c r="I447" s="5" t="s">
        <v>1689</v>
      </c>
      <c r="J447" s="4" t="n">
        <v>1.18</v>
      </c>
      <c r="K447" s="4"/>
      <c r="L447" s="4" t="s">
        <v>26</v>
      </c>
      <c r="M447" s="5"/>
      <c r="N447" s="4" t="s">
        <v>27</v>
      </c>
      <c r="O447" s="5" t="s">
        <v>1661</v>
      </c>
    </row>
    <row r="448" customFormat="false" ht="60" hidden="false" customHeight="true" outlineLevel="0" collapsed="false">
      <c r="A448" s="7" t="s">
        <v>1690</v>
      </c>
      <c r="B448" s="8" t="s">
        <v>1575</v>
      </c>
      <c r="C448" s="8" t="s">
        <v>1657</v>
      </c>
      <c r="D448" s="8" t="s">
        <v>1691</v>
      </c>
      <c r="E448" s="8" t="s">
        <v>1692</v>
      </c>
      <c r="F448" s="7" t="s">
        <v>67</v>
      </c>
      <c r="G448" s="7" t="s">
        <v>1494</v>
      </c>
      <c r="H448" s="9" t="s">
        <v>1495</v>
      </c>
      <c r="I448" s="8" t="s">
        <v>1693</v>
      </c>
      <c r="J448" s="7" t="n">
        <v>0.68</v>
      </c>
      <c r="K448" s="7"/>
      <c r="L448" s="7" t="s">
        <v>26</v>
      </c>
      <c r="M448" s="8"/>
      <c r="N448" s="7" t="s">
        <v>27</v>
      </c>
      <c r="O448" s="8" t="s">
        <v>1661</v>
      </c>
    </row>
    <row r="449" customFormat="false" ht="60" hidden="false" customHeight="true" outlineLevel="0" collapsed="false">
      <c r="A449" s="4" t="s">
        <v>1694</v>
      </c>
      <c r="B449" s="5" t="s">
        <v>1575</v>
      </c>
      <c r="C449" s="5" t="s">
        <v>1657</v>
      </c>
      <c r="D449" s="5" t="s">
        <v>1695</v>
      </c>
      <c r="E449" s="5" t="s">
        <v>1696</v>
      </c>
      <c r="F449" s="4" t="s">
        <v>76</v>
      </c>
      <c r="G449" s="4" t="s">
        <v>1494</v>
      </c>
      <c r="H449" s="6" t="s">
        <v>1495</v>
      </c>
      <c r="I449" s="5" t="s">
        <v>1697</v>
      </c>
      <c r="J449" s="4" t="n">
        <v>1.19</v>
      </c>
      <c r="K449" s="4"/>
      <c r="L449" s="4" t="s">
        <v>26</v>
      </c>
      <c r="M449" s="5"/>
      <c r="N449" s="4" t="s">
        <v>27</v>
      </c>
      <c r="O449" s="5" t="s">
        <v>1661</v>
      </c>
    </row>
    <row r="450" customFormat="false" ht="60" hidden="false" customHeight="true" outlineLevel="0" collapsed="false">
      <c r="A450" s="7" t="s">
        <v>1698</v>
      </c>
      <c r="B450" s="8" t="s">
        <v>1575</v>
      </c>
      <c r="C450" s="8" t="s">
        <v>1699</v>
      </c>
      <c r="D450" s="8" t="s">
        <v>1658</v>
      </c>
      <c r="E450" s="8" t="s">
        <v>1659</v>
      </c>
      <c r="F450" s="7" t="s">
        <v>22</v>
      </c>
      <c r="G450" s="7" t="s">
        <v>1700</v>
      </c>
      <c r="H450" s="9" t="s">
        <v>1701</v>
      </c>
      <c r="I450" s="8" t="s">
        <v>1702</v>
      </c>
      <c r="J450" s="7" t="n">
        <v>1.7</v>
      </c>
      <c r="K450" s="7"/>
      <c r="L450" s="7" t="s">
        <v>26</v>
      </c>
      <c r="M450" s="8"/>
      <c r="N450" s="7" t="s">
        <v>27</v>
      </c>
      <c r="O450" s="8" t="s">
        <v>1703</v>
      </c>
    </row>
    <row r="451" customFormat="false" ht="60" hidden="false" customHeight="true" outlineLevel="0" collapsed="false">
      <c r="A451" s="4" t="s">
        <v>1704</v>
      </c>
      <c r="B451" s="5" t="s">
        <v>1575</v>
      </c>
      <c r="C451" s="5" t="s">
        <v>1699</v>
      </c>
      <c r="D451" s="5" t="s">
        <v>1663</v>
      </c>
      <c r="E451" s="5" t="s">
        <v>1664</v>
      </c>
      <c r="F451" s="4" t="s">
        <v>22</v>
      </c>
      <c r="G451" s="4" t="s">
        <v>1700</v>
      </c>
      <c r="H451" s="6" t="s">
        <v>1701</v>
      </c>
      <c r="I451" s="5" t="s">
        <v>1705</v>
      </c>
      <c r="J451" s="4" t="n">
        <v>1.36</v>
      </c>
      <c r="K451" s="4"/>
      <c r="L451" s="4" t="s">
        <v>26</v>
      </c>
      <c r="M451" s="5"/>
      <c r="N451" s="4" t="s">
        <v>27</v>
      </c>
      <c r="O451" s="5" t="s">
        <v>1703</v>
      </c>
    </row>
    <row r="452" customFormat="false" ht="60" hidden="false" customHeight="true" outlineLevel="0" collapsed="false">
      <c r="A452" s="7" t="s">
        <v>1706</v>
      </c>
      <c r="B452" s="8" t="s">
        <v>1575</v>
      </c>
      <c r="C452" s="8" t="s">
        <v>1699</v>
      </c>
      <c r="D452" s="8" t="s">
        <v>1667</v>
      </c>
      <c r="E452" s="8" t="s">
        <v>1668</v>
      </c>
      <c r="F452" s="7" t="s">
        <v>36</v>
      </c>
      <c r="G452" s="7" t="s">
        <v>1700</v>
      </c>
      <c r="H452" s="9" t="s">
        <v>1701</v>
      </c>
      <c r="I452" s="8" t="s">
        <v>1707</v>
      </c>
      <c r="J452" s="7" t="n">
        <v>1.48</v>
      </c>
      <c r="K452" s="7"/>
      <c r="L452" s="7" t="s">
        <v>26</v>
      </c>
      <c r="M452" s="8"/>
      <c r="N452" s="7" t="s">
        <v>27</v>
      </c>
      <c r="O452" s="8" t="s">
        <v>1703</v>
      </c>
    </row>
    <row r="453" customFormat="false" ht="60" hidden="false" customHeight="true" outlineLevel="0" collapsed="false">
      <c r="A453" s="4" t="s">
        <v>1708</v>
      </c>
      <c r="B453" s="5" t="s">
        <v>1575</v>
      </c>
      <c r="C453" s="5" t="s">
        <v>1699</v>
      </c>
      <c r="D453" s="5" t="s">
        <v>1671</v>
      </c>
      <c r="E453" s="5" t="s">
        <v>1672</v>
      </c>
      <c r="F453" s="4" t="s">
        <v>36</v>
      </c>
      <c r="G453" s="4" t="s">
        <v>1700</v>
      </c>
      <c r="H453" s="6" t="s">
        <v>1701</v>
      </c>
      <c r="I453" s="5" t="s">
        <v>1709</v>
      </c>
      <c r="J453" s="4" t="n">
        <v>3.98</v>
      </c>
      <c r="K453" s="4"/>
      <c r="L453" s="4" t="s">
        <v>26</v>
      </c>
      <c r="M453" s="5"/>
      <c r="N453" s="4" t="s">
        <v>27</v>
      </c>
      <c r="O453" s="5" t="s">
        <v>1703</v>
      </c>
    </row>
    <row r="454" customFormat="false" ht="60" hidden="false" customHeight="true" outlineLevel="0" collapsed="false">
      <c r="A454" s="7" t="s">
        <v>1710</v>
      </c>
      <c r="B454" s="8" t="s">
        <v>1575</v>
      </c>
      <c r="C454" s="8" t="s">
        <v>1699</v>
      </c>
      <c r="D454" s="8" t="s">
        <v>1675</v>
      </c>
      <c r="E454" s="8" t="s">
        <v>1676</v>
      </c>
      <c r="F454" s="7" t="s">
        <v>36</v>
      </c>
      <c r="G454" s="7" t="s">
        <v>1700</v>
      </c>
      <c r="H454" s="9" t="s">
        <v>1701</v>
      </c>
      <c r="I454" s="8" t="s">
        <v>1711</v>
      </c>
      <c r="J454" s="7" t="n">
        <v>1.7</v>
      </c>
      <c r="K454" s="7"/>
      <c r="L454" s="7" t="s">
        <v>26</v>
      </c>
      <c r="M454" s="8"/>
      <c r="N454" s="7" t="s">
        <v>27</v>
      </c>
      <c r="O454" s="8" t="s">
        <v>1703</v>
      </c>
    </row>
    <row r="455" customFormat="false" ht="60" hidden="false" customHeight="true" outlineLevel="0" collapsed="false">
      <c r="A455" s="4" t="s">
        <v>1712</v>
      </c>
      <c r="B455" s="5" t="s">
        <v>1575</v>
      </c>
      <c r="C455" s="5" t="s">
        <v>1699</v>
      </c>
      <c r="D455" s="5" t="s">
        <v>1679</v>
      </c>
      <c r="E455" s="5" t="s">
        <v>1680</v>
      </c>
      <c r="F455" s="4" t="s">
        <v>67</v>
      </c>
      <c r="G455" s="4" t="s">
        <v>1700</v>
      </c>
      <c r="H455" s="6" t="s">
        <v>1701</v>
      </c>
      <c r="I455" s="5" t="s">
        <v>1713</v>
      </c>
      <c r="J455" s="4" t="n">
        <v>1.14</v>
      </c>
      <c r="K455" s="4"/>
      <c r="L455" s="4" t="s">
        <v>26</v>
      </c>
      <c r="M455" s="5"/>
      <c r="N455" s="4" t="s">
        <v>27</v>
      </c>
      <c r="O455" s="5" t="s">
        <v>1703</v>
      </c>
    </row>
    <row r="456" customFormat="false" ht="60" hidden="false" customHeight="true" outlineLevel="0" collapsed="false">
      <c r="A456" s="7" t="s">
        <v>1714</v>
      </c>
      <c r="B456" s="8" t="s">
        <v>1575</v>
      </c>
      <c r="C456" s="8" t="s">
        <v>1699</v>
      </c>
      <c r="D456" s="8" t="s">
        <v>1683</v>
      </c>
      <c r="E456" s="8" t="s">
        <v>1684</v>
      </c>
      <c r="F456" s="7" t="s">
        <v>53</v>
      </c>
      <c r="G456" s="7" t="s">
        <v>1700</v>
      </c>
      <c r="H456" s="9" t="s">
        <v>1701</v>
      </c>
      <c r="I456" s="8" t="s">
        <v>1715</v>
      </c>
      <c r="J456" s="7" t="n">
        <v>0.58</v>
      </c>
      <c r="K456" s="7"/>
      <c r="L456" s="7" t="s">
        <v>26</v>
      </c>
      <c r="M456" s="8"/>
      <c r="N456" s="7" t="s">
        <v>27</v>
      </c>
      <c r="O456" s="8" t="s">
        <v>1703</v>
      </c>
    </row>
    <row r="457" customFormat="false" ht="60" hidden="false" customHeight="true" outlineLevel="0" collapsed="false">
      <c r="A457" s="4" t="s">
        <v>1716</v>
      </c>
      <c r="B457" s="5" t="s">
        <v>1575</v>
      </c>
      <c r="C457" s="5" t="s">
        <v>1699</v>
      </c>
      <c r="D457" s="5" t="s">
        <v>1687</v>
      </c>
      <c r="E457" s="5" t="s">
        <v>1688</v>
      </c>
      <c r="F457" s="4" t="s">
        <v>58</v>
      </c>
      <c r="G457" s="4" t="s">
        <v>1700</v>
      </c>
      <c r="H457" s="6" t="s">
        <v>1701</v>
      </c>
      <c r="I457" s="5" t="s">
        <v>1717</v>
      </c>
      <c r="J457" s="4" t="n">
        <v>0.45</v>
      </c>
      <c r="K457" s="4"/>
      <c r="L457" s="4" t="s">
        <v>26</v>
      </c>
      <c r="M457" s="5"/>
      <c r="N457" s="4" t="s">
        <v>27</v>
      </c>
      <c r="O457" s="5" t="s">
        <v>1703</v>
      </c>
    </row>
    <row r="458" customFormat="false" ht="60" hidden="false" customHeight="true" outlineLevel="0" collapsed="false">
      <c r="A458" s="7" t="s">
        <v>1718</v>
      </c>
      <c r="B458" s="8" t="s">
        <v>1575</v>
      </c>
      <c r="C458" s="8" t="s">
        <v>1699</v>
      </c>
      <c r="D458" s="8" t="s">
        <v>1691</v>
      </c>
      <c r="E458" s="8" t="s">
        <v>1692</v>
      </c>
      <c r="F458" s="7" t="s">
        <v>67</v>
      </c>
      <c r="G458" s="7" t="s">
        <v>1700</v>
      </c>
      <c r="H458" s="9" t="s">
        <v>1701</v>
      </c>
      <c r="I458" s="8" t="s">
        <v>1719</v>
      </c>
      <c r="J458" s="7" t="n">
        <v>0.26</v>
      </c>
      <c r="K458" s="7"/>
      <c r="L458" s="7" t="s">
        <v>26</v>
      </c>
      <c r="M458" s="8"/>
      <c r="N458" s="7" t="s">
        <v>27</v>
      </c>
      <c r="O458" s="8" t="s">
        <v>1703</v>
      </c>
    </row>
    <row r="459" customFormat="false" ht="60" hidden="false" customHeight="true" outlineLevel="0" collapsed="false">
      <c r="A459" s="4" t="s">
        <v>1720</v>
      </c>
      <c r="B459" s="5" t="s">
        <v>1575</v>
      </c>
      <c r="C459" s="5" t="s">
        <v>1699</v>
      </c>
      <c r="D459" s="5" t="s">
        <v>1695</v>
      </c>
      <c r="E459" s="5" t="s">
        <v>1696</v>
      </c>
      <c r="F459" s="4" t="s">
        <v>76</v>
      </c>
      <c r="G459" s="4" t="s">
        <v>1700</v>
      </c>
      <c r="H459" s="6" t="s">
        <v>1701</v>
      </c>
      <c r="I459" s="5" t="s">
        <v>1721</v>
      </c>
      <c r="J459" s="4" t="n">
        <v>0.76</v>
      </c>
      <c r="K459" s="4"/>
      <c r="L459" s="4" t="s">
        <v>26</v>
      </c>
      <c r="M459" s="5"/>
      <c r="N459" s="4" t="s">
        <v>27</v>
      </c>
      <c r="O459" s="5" t="s">
        <v>1703</v>
      </c>
    </row>
    <row r="460" customFormat="false" ht="60" hidden="false" customHeight="true" outlineLevel="0" collapsed="false">
      <c r="A460" s="7" t="s">
        <v>1722</v>
      </c>
      <c r="B460" s="8" t="s">
        <v>1575</v>
      </c>
      <c r="C460" s="8" t="s">
        <v>1723</v>
      </c>
      <c r="D460" s="8" t="s">
        <v>294</v>
      </c>
      <c r="E460" s="8" t="s">
        <v>1724</v>
      </c>
      <c r="F460" s="7" t="s">
        <v>22</v>
      </c>
      <c r="G460" s="7" t="s">
        <v>1700</v>
      </c>
      <c r="H460" s="9" t="s">
        <v>1701</v>
      </c>
      <c r="I460" s="8" t="s">
        <v>1725</v>
      </c>
      <c r="J460" s="7" t="n">
        <v>1.7</v>
      </c>
      <c r="K460" s="7"/>
      <c r="L460" s="7" t="s">
        <v>26</v>
      </c>
      <c r="M460" s="8"/>
      <c r="N460" s="7" t="s">
        <v>27</v>
      </c>
      <c r="O460" s="8" t="s">
        <v>1726</v>
      </c>
    </row>
    <row r="461" customFormat="false" ht="60" hidden="false" customHeight="true" outlineLevel="0" collapsed="false">
      <c r="A461" s="4" t="s">
        <v>1727</v>
      </c>
      <c r="B461" s="5" t="s">
        <v>1575</v>
      </c>
      <c r="C461" s="5" t="s">
        <v>1723</v>
      </c>
      <c r="D461" s="5" t="s">
        <v>299</v>
      </c>
      <c r="E461" s="5" t="s">
        <v>1728</v>
      </c>
      <c r="F461" s="4" t="s">
        <v>22</v>
      </c>
      <c r="G461" s="4" t="s">
        <v>1700</v>
      </c>
      <c r="H461" s="6" t="s">
        <v>1701</v>
      </c>
      <c r="I461" s="5" t="s">
        <v>1729</v>
      </c>
      <c r="J461" s="4" t="n">
        <v>1.36</v>
      </c>
      <c r="K461" s="4"/>
      <c r="L461" s="4" t="s">
        <v>26</v>
      </c>
      <c r="M461" s="5"/>
      <c r="N461" s="4" t="s">
        <v>27</v>
      </c>
      <c r="O461" s="5" t="s">
        <v>1726</v>
      </c>
    </row>
    <row r="462" customFormat="false" ht="60" hidden="false" customHeight="true" outlineLevel="0" collapsed="false">
      <c r="A462" s="7" t="s">
        <v>1730</v>
      </c>
      <c r="B462" s="8" t="s">
        <v>1575</v>
      </c>
      <c r="C462" s="8" t="s">
        <v>1723</v>
      </c>
      <c r="D462" s="8" t="s">
        <v>303</v>
      </c>
      <c r="E462" s="8" t="s">
        <v>1731</v>
      </c>
      <c r="F462" s="7" t="s">
        <v>36</v>
      </c>
      <c r="G462" s="7" t="s">
        <v>1700</v>
      </c>
      <c r="H462" s="9" t="s">
        <v>1701</v>
      </c>
      <c r="I462" s="8" t="s">
        <v>1732</v>
      </c>
      <c r="J462" s="7" t="n">
        <v>1.48</v>
      </c>
      <c r="K462" s="7"/>
      <c r="L462" s="7" t="s">
        <v>26</v>
      </c>
      <c r="M462" s="8"/>
      <c r="N462" s="7" t="s">
        <v>27</v>
      </c>
      <c r="O462" s="8" t="s">
        <v>1726</v>
      </c>
    </row>
    <row r="463" customFormat="false" ht="60" hidden="false" customHeight="true" outlineLevel="0" collapsed="false">
      <c r="A463" s="4" t="s">
        <v>1733</v>
      </c>
      <c r="B463" s="5" t="s">
        <v>1575</v>
      </c>
      <c r="C463" s="5" t="s">
        <v>1723</v>
      </c>
      <c r="D463" s="5" t="s">
        <v>1734</v>
      </c>
      <c r="E463" s="5" t="s">
        <v>1735</v>
      </c>
      <c r="F463" s="4" t="s">
        <v>36</v>
      </c>
      <c r="G463" s="4" t="s">
        <v>1700</v>
      </c>
      <c r="H463" s="6" t="s">
        <v>1701</v>
      </c>
      <c r="I463" s="5" t="s">
        <v>1736</v>
      </c>
      <c r="J463" s="4" t="n">
        <v>3.98</v>
      </c>
      <c r="K463" s="4"/>
      <c r="L463" s="4" t="s">
        <v>26</v>
      </c>
      <c r="M463" s="5"/>
      <c r="N463" s="4" t="s">
        <v>27</v>
      </c>
      <c r="O463" s="5" t="s">
        <v>1726</v>
      </c>
    </row>
    <row r="464" customFormat="false" ht="60" hidden="false" customHeight="true" outlineLevel="0" collapsed="false">
      <c r="A464" s="7" t="s">
        <v>1737</v>
      </c>
      <c r="B464" s="8" t="s">
        <v>1575</v>
      </c>
      <c r="C464" s="8" t="s">
        <v>1723</v>
      </c>
      <c r="D464" s="8" t="s">
        <v>1738</v>
      </c>
      <c r="E464" s="8" t="s">
        <v>1739</v>
      </c>
      <c r="F464" s="7" t="s">
        <v>36</v>
      </c>
      <c r="G464" s="7" t="s">
        <v>1700</v>
      </c>
      <c r="H464" s="9" t="s">
        <v>1701</v>
      </c>
      <c r="I464" s="8" t="s">
        <v>1740</v>
      </c>
      <c r="J464" s="7" t="n">
        <v>1.7</v>
      </c>
      <c r="K464" s="7"/>
      <c r="L464" s="7" t="s">
        <v>26</v>
      </c>
      <c r="M464" s="8"/>
      <c r="N464" s="7" t="s">
        <v>27</v>
      </c>
      <c r="O464" s="8" t="s">
        <v>1726</v>
      </c>
    </row>
    <row r="465" customFormat="false" ht="60" hidden="false" customHeight="true" outlineLevel="0" collapsed="false">
      <c r="A465" s="4" t="s">
        <v>1741</v>
      </c>
      <c r="B465" s="5" t="s">
        <v>1575</v>
      </c>
      <c r="C465" s="5" t="s">
        <v>1723</v>
      </c>
      <c r="D465" s="5" t="s">
        <v>1742</v>
      </c>
      <c r="E465" s="5" t="s">
        <v>1743</v>
      </c>
      <c r="F465" s="4" t="s">
        <v>67</v>
      </c>
      <c r="G465" s="4" t="s">
        <v>1700</v>
      </c>
      <c r="H465" s="6" t="s">
        <v>1701</v>
      </c>
      <c r="I465" s="5" t="s">
        <v>1744</v>
      </c>
      <c r="J465" s="4" t="n">
        <v>1.14</v>
      </c>
      <c r="K465" s="4"/>
      <c r="L465" s="4" t="s">
        <v>26</v>
      </c>
      <c r="M465" s="5"/>
      <c r="N465" s="4" t="s">
        <v>27</v>
      </c>
      <c r="O465" s="5" t="s">
        <v>1726</v>
      </c>
    </row>
    <row r="466" customFormat="false" ht="60" hidden="false" customHeight="true" outlineLevel="0" collapsed="false">
      <c r="A466" s="7" t="s">
        <v>1745</v>
      </c>
      <c r="B466" s="8" t="s">
        <v>1575</v>
      </c>
      <c r="C466" s="8" t="s">
        <v>1723</v>
      </c>
      <c r="D466" s="8" t="s">
        <v>1746</v>
      </c>
      <c r="E466" s="8" t="s">
        <v>1747</v>
      </c>
      <c r="F466" s="7" t="s">
        <v>53</v>
      </c>
      <c r="G466" s="7" t="s">
        <v>1700</v>
      </c>
      <c r="H466" s="9" t="s">
        <v>1701</v>
      </c>
      <c r="I466" s="8" t="s">
        <v>1748</v>
      </c>
      <c r="J466" s="7" t="n">
        <v>0.58</v>
      </c>
      <c r="K466" s="7"/>
      <c r="L466" s="7" t="s">
        <v>26</v>
      </c>
      <c r="M466" s="8"/>
      <c r="N466" s="7" t="s">
        <v>27</v>
      </c>
      <c r="O466" s="8" t="s">
        <v>1726</v>
      </c>
    </row>
    <row r="467" customFormat="false" ht="60" hidden="false" customHeight="true" outlineLevel="0" collapsed="false">
      <c r="A467" s="4" t="s">
        <v>1749</v>
      </c>
      <c r="B467" s="5" t="s">
        <v>1575</v>
      </c>
      <c r="C467" s="5" t="s">
        <v>1723</v>
      </c>
      <c r="D467" s="5" t="s">
        <v>1750</v>
      </c>
      <c r="E467" s="5" t="s">
        <v>1751</v>
      </c>
      <c r="F467" s="4" t="s">
        <v>58</v>
      </c>
      <c r="G467" s="4" t="s">
        <v>1700</v>
      </c>
      <c r="H467" s="6" t="s">
        <v>1701</v>
      </c>
      <c r="I467" s="5" t="s">
        <v>1752</v>
      </c>
      <c r="J467" s="4" t="n">
        <v>0.45</v>
      </c>
      <c r="K467" s="4"/>
      <c r="L467" s="4" t="s">
        <v>26</v>
      </c>
      <c r="M467" s="5"/>
      <c r="N467" s="4" t="s">
        <v>27</v>
      </c>
      <c r="O467" s="5" t="s">
        <v>1726</v>
      </c>
    </row>
    <row r="468" customFormat="false" ht="60" hidden="false" customHeight="true" outlineLevel="0" collapsed="false">
      <c r="A468" s="7" t="s">
        <v>1753</v>
      </c>
      <c r="B468" s="8" t="s">
        <v>1575</v>
      </c>
      <c r="C468" s="8" t="s">
        <v>1723</v>
      </c>
      <c r="D468" s="8" t="s">
        <v>1754</v>
      </c>
      <c r="E468" s="8" t="s">
        <v>1755</v>
      </c>
      <c r="F468" s="7" t="s">
        <v>67</v>
      </c>
      <c r="G468" s="7" t="s">
        <v>1700</v>
      </c>
      <c r="H468" s="9" t="s">
        <v>1701</v>
      </c>
      <c r="I468" s="8" t="s">
        <v>1756</v>
      </c>
      <c r="J468" s="7" t="n">
        <v>0.26</v>
      </c>
      <c r="K468" s="7"/>
      <c r="L468" s="7" t="s">
        <v>26</v>
      </c>
      <c r="M468" s="8"/>
      <c r="N468" s="7" t="s">
        <v>27</v>
      </c>
      <c r="O468" s="8" t="s">
        <v>1726</v>
      </c>
    </row>
    <row r="469" customFormat="false" ht="60" hidden="false" customHeight="true" outlineLevel="0" collapsed="false">
      <c r="A469" s="4" t="s">
        <v>1757</v>
      </c>
      <c r="B469" s="5" t="s">
        <v>1575</v>
      </c>
      <c r="C469" s="5" t="s">
        <v>1723</v>
      </c>
      <c r="D469" s="5" t="s">
        <v>1758</v>
      </c>
      <c r="E469" s="5" t="s">
        <v>1759</v>
      </c>
      <c r="F469" s="4" t="s">
        <v>76</v>
      </c>
      <c r="G469" s="4" t="s">
        <v>1700</v>
      </c>
      <c r="H469" s="6" t="s">
        <v>1701</v>
      </c>
      <c r="I469" s="5" t="s">
        <v>1760</v>
      </c>
      <c r="J469" s="4" t="n">
        <v>0.76</v>
      </c>
      <c r="K469" s="4"/>
      <c r="L469" s="4" t="s">
        <v>26</v>
      </c>
      <c r="M469" s="5"/>
      <c r="N469" s="4" t="s">
        <v>27</v>
      </c>
      <c r="O469" s="5" t="s">
        <v>1726</v>
      </c>
    </row>
    <row r="470" customFormat="false" ht="60" hidden="false" customHeight="true" outlineLevel="0" collapsed="false">
      <c r="A470" s="7" t="s">
        <v>1761</v>
      </c>
      <c r="B470" s="8" t="s">
        <v>1575</v>
      </c>
      <c r="C470" s="8" t="s">
        <v>1762</v>
      </c>
      <c r="D470" s="8" t="s">
        <v>1658</v>
      </c>
      <c r="E470" s="8" t="s">
        <v>1659</v>
      </c>
      <c r="F470" s="7" t="s">
        <v>22</v>
      </c>
      <c r="G470" s="7" t="s">
        <v>1700</v>
      </c>
      <c r="H470" s="9" t="s">
        <v>1701</v>
      </c>
      <c r="I470" s="8" t="s">
        <v>1763</v>
      </c>
      <c r="J470" s="7" t="n">
        <v>1.72</v>
      </c>
      <c r="K470" s="7"/>
      <c r="L470" s="7" t="s">
        <v>26</v>
      </c>
      <c r="M470" s="8"/>
      <c r="N470" s="7" t="s">
        <v>27</v>
      </c>
      <c r="O470" s="8" t="s">
        <v>1764</v>
      </c>
    </row>
    <row r="471" customFormat="false" ht="60" hidden="false" customHeight="true" outlineLevel="0" collapsed="false">
      <c r="A471" s="4" t="s">
        <v>1765</v>
      </c>
      <c r="B471" s="5" t="s">
        <v>1575</v>
      </c>
      <c r="C471" s="5" t="s">
        <v>1762</v>
      </c>
      <c r="D471" s="5" t="s">
        <v>1663</v>
      </c>
      <c r="E471" s="5" t="s">
        <v>1664</v>
      </c>
      <c r="F471" s="4" t="s">
        <v>22</v>
      </c>
      <c r="G471" s="4" t="s">
        <v>1700</v>
      </c>
      <c r="H471" s="6" t="s">
        <v>1701</v>
      </c>
      <c r="I471" s="5" t="s">
        <v>1766</v>
      </c>
      <c r="J471" s="4" t="n">
        <v>1.38</v>
      </c>
      <c r="K471" s="4"/>
      <c r="L471" s="4" t="s">
        <v>26</v>
      </c>
      <c r="M471" s="5"/>
      <c r="N471" s="4" t="s">
        <v>27</v>
      </c>
      <c r="O471" s="5" t="s">
        <v>1764</v>
      </c>
    </row>
    <row r="472" customFormat="false" ht="60" hidden="false" customHeight="true" outlineLevel="0" collapsed="false">
      <c r="A472" s="7" t="s">
        <v>1767</v>
      </c>
      <c r="B472" s="8" t="s">
        <v>1575</v>
      </c>
      <c r="C472" s="8" t="s">
        <v>1762</v>
      </c>
      <c r="D472" s="8" t="s">
        <v>1667</v>
      </c>
      <c r="E472" s="8" t="s">
        <v>1668</v>
      </c>
      <c r="F472" s="7" t="s">
        <v>36</v>
      </c>
      <c r="G472" s="7" t="s">
        <v>1700</v>
      </c>
      <c r="H472" s="9" t="s">
        <v>1701</v>
      </c>
      <c r="I472" s="8" t="s">
        <v>1768</v>
      </c>
      <c r="J472" s="7" t="n">
        <v>1.49</v>
      </c>
      <c r="K472" s="7"/>
      <c r="L472" s="7" t="s">
        <v>26</v>
      </c>
      <c r="M472" s="8"/>
      <c r="N472" s="7" t="s">
        <v>27</v>
      </c>
      <c r="O472" s="8" t="s">
        <v>1764</v>
      </c>
    </row>
    <row r="473" customFormat="false" ht="60" hidden="false" customHeight="true" outlineLevel="0" collapsed="false">
      <c r="A473" s="4" t="s">
        <v>1769</v>
      </c>
      <c r="B473" s="5" t="s">
        <v>1575</v>
      </c>
      <c r="C473" s="5" t="s">
        <v>1762</v>
      </c>
      <c r="D473" s="5" t="s">
        <v>1671</v>
      </c>
      <c r="E473" s="5" t="s">
        <v>1672</v>
      </c>
      <c r="F473" s="4" t="s">
        <v>36</v>
      </c>
      <c r="G473" s="4" t="s">
        <v>1700</v>
      </c>
      <c r="H473" s="6" t="s">
        <v>1701</v>
      </c>
      <c r="I473" s="5" t="s">
        <v>1770</v>
      </c>
      <c r="J473" s="4" t="n">
        <v>4.01</v>
      </c>
      <c r="K473" s="4"/>
      <c r="L473" s="4" t="s">
        <v>26</v>
      </c>
      <c r="M473" s="5"/>
      <c r="N473" s="4" t="s">
        <v>27</v>
      </c>
      <c r="O473" s="5" t="s">
        <v>1764</v>
      </c>
    </row>
    <row r="474" customFormat="false" ht="60" hidden="false" customHeight="true" outlineLevel="0" collapsed="false">
      <c r="A474" s="7" t="s">
        <v>1771</v>
      </c>
      <c r="B474" s="8" t="s">
        <v>1575</v>
      </c>
      <c r="C474" s="8" t="s">
        <v>1762</v>
      </c>
      <c r="D474" s="8" t="s">
        <v>1675</v>
      </c>
      <c r="E474" s="8" t="s">
        <v>1676</v>
      </c>
      <c r="F474" s="7" t="s">
        <v>36</v>
      </c>
      <c r="G474" s="7" t="s">
        <v>1700</v>
      </c>
      <c r="H474" s="9" t="s">
        <v>1701</v>
      </c>
      <c r="I474" s="8" t="s">
        <v>1772</v>
      </c>
      <c r="J474" s="7" t="n">
        <v>1.72</v>
      </c>
      <c r="K474" s="7"/>
      <c r="L474" s="7" t="s">
        <v>26</v>
      </c>
      <c r="M474" s="8"/>
      <c r="N474" s="7" t="s">
        <v>27</v>
      </c>
      <c r="O474" s="8" t="s">
        <v>1764</v>
      </c>
    </row>
    <row r="475" customFormat="false" ht="60" hidden="false" customHeight="true" outlineLevel="0" collapsed="false">
      <c r="A475" s="4" t="s">
        <v>1773</v>
      </c>
      <c r="B475" s="5" t="s">
        <v>1575</v>
      </c>
      <c r="C475" s="5" t="s">
        <v>1762</v>
      </c>
      <c r="D475" s="5" t="s">
        <v>1679</v>
      </c>
      <c r="E475" s="5" t="s">
        <v>1680</v>
      </c>
      <c r="F475" s="4" t="s">
        <v>67</v>
      </c>
      <c r="G475" s="4" t="s">
        <v>1700</v>
      </c>
      <c r="H475" s="6" t="s">
        <v>1701</v>
      </c>
      <c r="I475" s="5" t="s">
        <v>1774</v>
      </c>
      <c r="J475" s="4" t="n">
        <v>1.15</v>
      </c>
      <c r="K475" s="4"/>
      <c r="L475" s="4" t="s">
        <v>26</v>
      </c>
      <c r="M475" s="5"/>
      <c r="N475" s="4" t="s">
        <v>27</v>
      </c>
      <c r="O475" s="5" t="s">
        <v>1764</v>
      </c>
    </row>
    <row r="476" customFormat="false" ht="60" hidden="false" customHeight="true" outlineLevel="0" collapsed="false">
      <c r="A476" s="7" t="s">
        <v>1775</v>
      </c>
      <c r="B476" s="8" t="s">
        <v>1575</v>
      </c>
      <c r="C476" s="8" t="s">
        <v>1762</v>
      </c>
      <c r="D476" s="8" t="s">
        <v>1683</v>
      </c>
      <c r="E476" s="8" t="s">
        <v>1684</v>
      </c>
      <c r="F476" s="7" t="s">
        <v>53</v>
      </c>
      <c r="G476" s="7" t="s">
        <v>1700</v>
      </c>
      <c r="H476" s="9" t="s">
        <v>1701</v>
      </c>
      <c r="I476" s="8" t="s">
        <v>1776</v>
      </c>
      <c r="J476" s="7" t="n">
        <v>0.58</v>
      </c>
      <c r="K476" s="7"/>
      <c r="L476" s="7" t="s">
        <v>26</v>
      </c>
      <c r="M476" s="8"/>
      <c r="N476" s="7" t="s">
        <v>27</v>
      </c>
      <c r="O476" s="8" t="s">
        <v>1764</v>
      </c>
    </row>
    <row r="477" customFormat="false" ht="60" hidden="false" customHeight="true" outlineLevel="0" collapsed="false">
      <c r="A477" s="4" t="s">
        <v>1777</v>
      </c>
      <c r="B477" s="5" t="s">
        <v>1575</v>
      </c>
      <c r="C477" s="5" t="s">
        <v>1762</v>
      </c>
      <c r="D477" s="5" t="s">
        <v>1687</v>
      </c>
      <c r="E477" s="5" t="s">
        <v>1688</v>
      </c>
      <c r="F477" s="4" t="s">
        <v>58</v>
      </c>
      <c r="G477" s="4" t="s">
        <v>1700</v>
      </c>
      <c r="H477" s="6" t="s">
        <v>1701</v>
      </c>
      <c r="I477" s="5" t="s">
        <v>1778</v>
      </c>
      <c r="J477" s="4" t="n">
        <v>0.45</v>
      </c>
      <c r="K477" s="4"/>
      <c r="L477" s="4" t="s">
        <v>26</v>
      </c>
      <c r="M477" s="5"/>
      <c r="N477" s="4" t="s">
        <v>27</v>
      </c>
      <c r="O477" s="5" t="s">
        <v>1764</v>
      </c>
    </row>
    <row r="478" customFormat="false" ht="60" hidden="false" customHeight="true" outlineLevel="0" collapsed="false">
      <c r="A478" s="7" t="s">
        <v>1779</v>
      </c>
      <c r="B478" s="8" t="s">
        <v>1575</v>
      </c>
      <c r="C478" s="8" t="s">
        <v>1762</v>
      </c>
      <c r="D478" s="8" t="s">
        <v>1691</v>
      </c>
      <c r="E478" s="8" t="s">
        <v>1692</v>
      </c>
      <c r="F478" s="7" t="s">
        <v>67</v>
      </c>
      <c r="G478" s="7" t="s">
        <v>1700</v>
      </c>
      <c r="H478" s="9" t="s">
        <v>1701</v>
      </c>
      <c r="I478" s="8" t="s">
        <v>1780</v>
      </c>
      <c r="J478" s="7" t="n">
        <v>0.26</v>
      </c>
      <c r="K478" s="7"/>
      <c r="L478" s="7" t="s">
        <v>26</v>
      </c>
      <c r="M478" s="8"/>
      <c r="N478" s="7" t="s">
        <v>27</v>
      </c>
      <c r="O478" s="8" t="s">
        <v>1764</v>
      </c>
    </row>
    <row r="479" customFormat="false" ht="60" hidden="false" customHeight="true" outlineLevel="0" collapsed="false">
      <c r="A479" s="4" t="s">
        <v>1781</v>
      </c>
      <c r="B479" s="5" t="s">
        <v>1575</v>
      </c>
      <c r="C479" s="5" t="s">
        <v>1762</v>
      </c>
      <c r="D479" s="5" t="s">
        <v>1695</v>
      </c>
      <c r="E479" s="5" t="s">
        <v>1696</v>
      </c>
      <c r="F479" s="4" t="s">
        <v>76</v>
      </c>
      <c r="G479" s="4" t="s">
        <v>1700</v>
      </c>
      <c r="H479" s="6" t="s">
        <v>1701</v>
      </c>
      <c r="I479" s="5" t="s">
        <v>1782</v>
      </c>
      <c r="J479" s="4" t="n">
        <v>0.76</v>
      </c>
      <c r="K479" s="4"/>
      <c r="L479" s="4" t="s">
        <v>26</v>
      </c>
      <c r="M479" s="5"/>
      <c r="N479" s="4" t="s">
        <v>27</v>
      </c>
      <c r="O479" s="5" t="s">
        <v>1764</v>
      </c>
    </row>
    <row r="480" customFormat="false" ht="60" hidden="false" customHeight="true" outlineLevel="0" collapsed="false">
      <c r="A480" s="7" t="s">
        <v>1783</v>
      </c>
      <c r="B480" s="8" t="s">
        <v>1784</v>
      </c>
      <c r="C480" s="8" t="s">
        <v>1785</v>
      </c>
      <c r="D480" s="8" t="s">
        <v>1786</v>
      </c>
      <c r="E480" s="8" t="s">
        <v>1787</v>
      </c>
      <c r="F480" s="7" t="s">
        <v>22</v>
      </c>
      <c r="G480" s="7" t="s">
        <v>1700</v>
      </c>
      <c r="H480" s="9" t="s">
        <v>1701</v>
      </c>
      <c r="I480" s="8" t="s">
        <v>1788</v>
      </c>
      <c r="J480" s="7" t="n">
        <v>1.7</v>
      </c>
      <c r="K480" s="7"/>
      <c r="L480" s="7" t="s">
        <v>26</v>
      </c>
      <c r="M480" s="8"/>
      <c r="N480" s="7" t="s">
        <v>27</v>
      </c>
      <c r="O480" s="8" t="s">
        <v>1789</v>
      </c>
    </row>
    <row r="481" customFormat="false" ht="60" hidden="false" customHeight="true" outlineLevel="0" collapsed="false">
      <c r="A481" s="4" t="s">
        <v>1790</v>
      </c>
      <c r="B481" s="5" t="s">
        <v>1784</v>
      </c>
      <c r="C481" s="5" t="s">
        <v>1785</v>
      </c>
      <c r="D481" s="5" t="s">
        <v>1791</v>
      </c>
      <c r="E481" s="5" t="s">
        <v>1792</v>
      </c>
      <c r="F481" s="4" t="s">
        <v>22</v>
      </c>
      <c r="G481" s="4" t="s">
        <v>1700</v>
      </c>
      <c r="H481" s="6" t="s">
        <v>1701</v>
      </c>
      <c r="I481" s="5" t="s">
        <v>1793</v>
      </c>
      <c r="J481" s="4" t="n">
        <v>1.36</v>
      </c>
      <c r="K481" s="4"/>
      <c r="L481" s="4" t="s">
        <v>26</v>
      </c>
      <c r="M481" s="5"/>
      <c r="N481" s="4" t="s">
        <v>27</v>
      </c>
      <c r="O481" s="5" t="s">
        <v>1789</v>
      </c>
    </row>
    <row r="482" customFormat="false" ht="60" hidden="false" customHeight="true" outlineLevel="0" collapsed="false">
      <c r="A482" s="7" t="s">
        <v>1794</v>
      </c>
      <c r="B482" s="8" t="s">
        <v>1784</v>
      </c>
      <c r="C482" s="8" t="s">
        <v>1785</v>
      </c>
      <c r="D482" s="8" t="s">
        <v>1795</v>
      </c>
      <c r="E482" s="8" t="s">
        <v>1796</v>
      </c>
      <c r="F482" s="7" t="s">
        <v>36</v>
      </c>
      <c r="G482" s="7" t="s">
        <v>1700</v>
      </c>
      <c r="H482" s="9" t="s">
        <v>1701</v>
      </c>
      <c r="I482" s="8" t="s">
        <v>1797</v>
      </c>
      <c r="J482" s="7" t="n">
        <v>1.48</v>
      </c>
      <c r="K482" s="7"/>
      <c r="L482" s="7" t="s">
        <v>26</v>
      </c>
      <c r="M482" s="8"/>
      <c r="N482" s="7" t="s">
        <v>27</v>
      </c>
      <c r="O482" s="8" t="s">
        <v>1789</v>
      </c>
    </row>
    <row r="483" customFormat="false" ht="60" hidden="false" customHeight="true" outlineLevel="0" collapsed="false">
      <c r="A483" s="4" t="s">
        <v>1798</v>
      </c>
      <c r="B483" s="5" t="s">
        <v>1784</v>
      </c>
      <c r="C483" s="5" t="s">
        <v>1785</v>
      </c>
      <c r="D483" s="5" t="s">
        <v>1799</v>
      </c>
      <c r="E483" s="5" t="s">
        <v>1800</v>
      </c>
      <c r="F483" s="4" t="s">
        <v>36</v>
      </c>
      <c r="G483" s="4" t="s">
        <v>1700</v>
      </c>
      <c r="H483" s="6" t="s">
        <v>1701</v>
      </c>
      <c r="I483" s="5" t="s">
        <v>1801</v>
      </c>
      <c r="J483" s="4" t="n">
        <v>3.98</v>
      </c>
      <c r="K483" s="4"/>
      <c r="L483" s="4" t="s">
        <v>26</v>
      </c>
      <c r="M483" s="5"/>
      <c r="N483" s="4" t="s">
        <v>27</v>
      </c>
      <c r="O483" s="5" t="s">
        <v>1789</v>
      </c>
    </row>
    <row r="484" customFormat="false" ht="60" hidden="false" customHeight="true" outlineLevel="0" collapsed="false">
      <c r="A484" s="7" t="s">
        <v>1802</v>
      </c>
      <c r="B484" s="8" t="s">
        <v>1784</v>
      </c>
      <c r="C484" s="8" t="s">
        <v>1785</v>
      </c>
      <c r="D484" s="8" t="s">
        <v>1803</v>
      </c>
      <c r="E484" s="8" t="s">
        <v>1804</v>
      </c>
      <c r="F484" s="7" t="s">
        <v>36</v>
      </c>
      <c r="G484" s="7" t="s">
        <v>1700</v>
      </c>
      <c r="H484" s="9" t="s">
        <v>1701</v>
      </c>
      <c r="I484" s="8" t="s">
        <v>1805</v>
      </c>
      <c r="J484" s="7" t="n">
        <v>1.7</v>
      </c>
      <c r="K484" s="7"/>
      <c r="L484" s="7" t="s">
        <v>26</v>
      </c>
      <c r="M484" s="8"/>
      <c r="N484" s="7" t="s">
        <v>27</v>
      </c>
      <c r="O484" s="8" t="s">
        <v>1789</v>
      </c>
    </row>
    <row r="485" customFormat="false" ht="60" hidden="false" customHeight="true" outlineLevel="0" collapsed="false">
      <c r="A485" s="4" t="s">
        <v>1806</v>
      </c>
      <c r="B485" s="5" t="s">
        <v>1784</v>
      </c>
      <c r="C485" s="5" t="s">
        <v>1785</v>
      </c>
      <c r="D485" s="5" t="s">
        <v>1807</v>
      </c>
      <c r="E485" s="5" t="s">
        <v>1808</v>
      </c>
      <c r="F485" s="4" t="s">
        <v>67</v>
      </c>
      <c r="G485" s="4" t="s">
        <v>1700</v>
      </c>
      <c r="H485" s="6" t="s">
        <v>1701</v>
      </c>
      <c r="I485" s="5" t="s">
        <v>1809</v>
      </c>
      <c r="J485" s="4" t="n">
        <v>1.14</v>
      </c>
      <c r="K485" s="4"/>
      <c r="L485" s="4" t="s">
        <v>26</v>
      </c>
      <c r="M485" s="5"/>
      <c r="N485" s="4" t="s">
        <v>27</v>
      </c>
      <c r="O485" s="5" t="s">
        <v>1789</v>
      </c>
    </row>
    <row r="486" customFormat="false" ht="60" hidden="false" customHeight="true" outlineLevel="0" collapsed="false">
      <c r="A486" s="7" t="s">
        <v>1810</v>
      </c>
      <c r="B486" s="8" t="s">
        <v>1784</v>
      </c>
      <c r="C486" s="8" t="s">
        <v>1785</v>
      </c>
      <c r="D486" s="8" t="s">
        <v>1811</v>
      </c>
      <c r="E486" s="8" t="s">
        <v>1812</v>
      </c>
      <c r="F486" s="7" t="s">
        <v>53</v>
      </c>
      <c r="G486" s="7" t="s">
        <v>1700</v>
      </c>
      <c r="H486" s="9" t="s">
        <v>1701</v>
      </c>
      <c r="I486" s="8" t="s">
        <v>1813</v>
      </c>
      <c r="J486" s="7" t="n">
        <v>0.58</v>
      </c>
      <c r="K486" s="7"/>
      <c r="L486" s="7" t="s">
        <v>26</v>
      </c>
      <c r="M486" s="8"/>
      <c r="N486" s="7" t="s">
        <v>27</v>
      </c>
      <c r="O486" s="8" t="s">
        <v>1789</v>
      </c>
    </row>
    <row r="487" customFormat="false" ht="60" hidden="false" customHeight="true" outlineLevel="0" collapsed="false">
      <c r="A487" s="4" t="s">
        <v>1814</v>
      </c>
      <c r="B487" s="5" t="s">
        <v>1784</v>
      </c>
      <c r="C487" s="5" t="s">
        <v>1785</v>
      </c>
      <c r="D487" s="5" t="s">
        <v>1815</v>
      </c>
      <c r="E487" s="5" t="s">
        <v>1816</v>
      </c>
      <c r="F487" s="4" t="s">
        <v>58</v>
      </c>
      <c r="G487" s="4" t="s">
        <v>1700</v>
      </c>
      <c r="H487" s="6" t="s">
        <v>1701</v>
      </c>
      <c r="I487" s="5" t="s">
        <v>1817</v>
      </c>
      <c r="J487" s="4" t="n">
        <v>0.45</v>
      </c>
      <c r="K487" s="4"/>
      <c r="L487" s="4" t="s">
        <v>26</v>
      </c>
      <c r="M487" s="5"/>
      <c r="N487" s="4" t="s">
        <v>27</v>
      </c>
      <c r="O487" s="5" t="s">
        <v>1789</v>
      </c>
    </row>
    <row r="488" customFormat="false" ht="60" hidden="false" customHeight="true" outlineLevel="0" collapsed="false">
      <c r="A488" s="7" t="s">
        <v>1818</v>
      </c>
      <c r="B488" s="8" t="s">
        <v>1784</v>
      </c>
      <c r="C488" s="8" t="s">
        <v>1785</v>
      </c>
      <c r="D488" s="8" t="s">
        <v>1819</v>
      </c>
      <c r="E488" s="8" t="s">
        <v>1820</v>
      </c>
      <c r="F488" s="7" t="s">
        <v>67</v>
      </c>
      <c r="G488" s="7" t="s">
        <v>1700</v>
      </c>
      <c r="H488" s="9" t="s">
        <v>1701</v>
      </c>
      <c r="I488" s="8" t="s">
        <v>1821</v>
      </c>
      <c r="J488" s="7" t="n">
        <v>0.26</v>
      </c>
      <c r="K488" s="7"/>
      <c r="L488" s="7" t="s">
        <v>26</v>
      </c>
      <c r="M488" s="8"/>
      <c r="N488" s="7" t="s">
        <v>27</v>
      </c>
      <c r="O488" s="8" t="s">
        <v>1789</v>
      </c>
    </row>
    <row r="489" customFormat="false" ht="60" hidden="false" customHeight="true" outlineLevel="0" collapsed="false">
      <c r="A489" s="4" t="s">
        <v>1822</v>
      </c>
      <c r="B489" s="5" t="s">
        <v>1784</v>
      </c>
      <c r="C489" s="5" t="s">
        <v>1785</v>
      </c>
      <c r="D489" s="5" t="s">
        <v>1823</v>
      </c>
      <c r="E489" s="5" t="s">
        <v>1824</v>
      </c>
      <c r="F489" s="4" t="s">
        <v>76</v>
      </c>
      <c r="G489" s="4" t="s">
        <v>1700</v>
      </c>
      <c r="H489" s="6" t="s">
        <v>1701</v>
      </c>
      <c r="I489" s="5" t="s">
        <v>1825</v>
      </c>
      <c r="J489" s="4" t="n">
        <v>0.76</v>
      </c>
      <c r="K489" s="4"/>
      <c r="L489" s="4" t="s">
        <v>26</v>
      </c>
      <c r="M489" s="5"/>
      <c r="N489" s="4" t="s">
        <v>27</v>
      </c>
      <c r="O489" s="5" t="s">
        <v>1789</v>
      </c>
    </row>
    <row r="490" customFormat="false" ht="60" hidden="false" customHeight="true" outlineLevel="0" collapsed="false">
      <c r="A490" s="7" t="s">
        <v>1826</v>
      </c>
      <c r="B490" s="8" t="s">
        <v>1784</v>
      </c>
      <c r="C490" s="8" t="s">
        <v>1827</v>
      </c>
      <c r="D490" s="8" t="s">
        <v>1828</v>
      </c>
      <c r="E490" s="8" t="s">
        <v>1829</v>
      </c>
      <c r="F490" s="7" t="s">
        <v>22</v>
      </c>
      <c r="G490" s="7" t="s">
        <v>1830</v>
      </c>
      <c r="H490" s="9" t="s">
        <v>1831</v>
      </c>
      <c r="I490" s="8" t="s">
        <v>1832</v>
      </c>
      <c r="J490" s="7" t="n">
        <v>1.36</v>
      </c>
      <c r="K490" s="7"/>
      <c r="L490" s="7" t="s">
        <v>26</v>
      </c>
      <c r="M490" s="8"/>
      <c r="N490" s="7" t="s">
        <v>27</v>
      </c>
      <c r="O490" s="8" t="s">
        <v>1833</v>
      </c>
    </row>
    <row r="491" customFormat="false" ht="60" hidden="false" customHeight="true" outlineLevel="0" collapsed="false">
      <c r="A491" s="4" t="s">
        <v>1834</v>
      </c>
      <c r="B491" s="5" t="s">
        <v>1784</v>
      </c>
      <c r="C491" s="5" t="s">
        <v>1827</v>
      </c>
      <c r="D491" s="5" t="s">
        <v>1835</v>
      </c>
      <c r="E491" s="5" t="s">
        <v>1836</v>
      </c>
      <c r="F491" s="4" t="s">
        <v>22</v>
      </c>
      <c r="G491" s="4" t="s">
        <v>1830</v>
      </c>
      <c r="H491" s="6" t="s">
        <v>1831</v>
      </c>
      <c r="I491" s="5" t="s">
        <v>1837</v>
      </c>
      <c r="J491" s="4" t="n">
        <v>1.09</v>
      </c>
      <c r="K491" s="4"/>
      <c r="L491" s="4" t="s">
        <v>26</v>
      </c>
      <c r="M491" s="5"/>
      <c r="N491" s="4" t="s">
        <v>27</v>
      </c>
      <c r="O491" s="5" t="s">
        <v>1833</v>
      </c>
    </row>
    <row r="492" customFormat="false" ht="60" hidden="false" customHeight="true" outlineLevel="0" collapsed="false">
      <c r="A492" s="7" t="s">
        <v>1838</v>
      </c>
      <c r="B492" s="8" t="s">
        <v>1784</v>
      </c>
      <c r="C492" s="8" t="s">
        <v>1827</v>
      </c>
      <c r="D492" s="8" t="s">
        <v>1839</v>
      </c>
      <c r="E492" s="8" t="s">
        <v>1840</v>
      </c>
      <c r="F492" s="7" t="s">
        <v>36</v>
      </c>
      <c r="G492" s="7" t="s">
        <v>1830</v>
      </c>
      <c r="H492" s="9" t="s">
        <v>1831</v>
      </c>
      <c r="I492" s="8" t="s">
        <v>1841</v>
      </c>
      <c r="J492" s="7" t="n">
        <v>1.18</v>
      </c>
      <c r="K492" s="7"/>
      <c r="L492" s="7" t="s">
        <v>26</v>
      </c>
      <c r="M492" s="8"/>
      <c r="N492" s="7" t="s">
        <v>27</v>
      </c>
      <c r="O492" s="8" t="s">
        <v>1833</v>
      </c>
    </row>
    <row r="493" customFormat="false" ht="60" hidden="false" customHeight="true" outlineLevel="0" collapsed="false">
      <c r="A493" s="4" t="s">
        <v>1842</v>
      </c>
      <c r="B493" s="5" t="s">
        <v>1784</v>
      </c>
      <c r="C493" s="5" t="s">
        <v>1827</v>
      </c>
      <c r="D493" s="5" t="s">
        <v>1843</v>
      </c>
      <c r="E493" s="5" t="s">
        <v>1844</v>
      </c>
      <c r="F493" s="4" t="s">
        <v>36</v>
      </c>
      <c r="G493" s="4" t="s">
        <v>1830</v>
      </c>
      <c r="H493" s="6" t="s">
        <v>1831</v>
      </c>
      <c r="I493" s="5" t="s">
        <v>1845</v>
      </c>
      <c r="J493" s="4" t="n">
        <v>3.18</v>
      </c>
      <c r="K493" s="4"/>
      <c r="L493" s="4" t="s">
        <v>26</v>
      </c>
      <c r="M493" s="5"/>
      <c r="N493" s="4" t="s">
        <v>27</v>
      </c>
      <c r="O493" s="5" t="s">
        <v>1833</v>
      </c>
    </row>
    <row r="494" customFormat="false" ht="60" hidden="false" customHeight="true" outlineLevel="0" collapsed="false">
      <c r="A494" s="7" t="s">
        <v>1846</v>
      </c>
      <c r="B494" s="8" t="s">
        <v>1784</v>
      </c>
      <c r="C494" s="8" t="s">
        <v>1827</v>
      </c>
      <c r="D494" s="8" t="s">
        <v>1847</v>
      </c>
      <c r="E494" s="8" t="s">
        <v>1848</v>
      </c>
      <c r="F494" s="7" t="s">
        <v>36</v>
      </c>
      <c r="G494" s="7" t="s">
        <v>1830</v>
      </c>
      <c r="H494" s="9" t="s">
        <v>1831</v>
      </c>
      <c r="I494" s="8" t="s">
        <v>1849</v>
      </c>
      <c r="J494" s="7" t="n">
        <v>1.36</v>
      </c>
      <c r="K494" s="7"/>
      <c r="L494" s="7" t="s">
        <v>26</v>
      </c>
      <c r="M494" s="8"/>
      <c r="N494" s="7" t="s">
        <v>27</v>
      </c>
      <c r="O494" s="8" t="s">
        <v>1833</v>
      </c>
    </row>
    <row r="495" customFormat="false" ht="60" hidden="false" customHeight="true" outlineLevel="0" collapsed="false">
      <c r="A495" s="4" t="s">
        <v>1850</v>
      </c>
      <c r="B495" s="5" t="s">
        <v>1784</v>
      </c>
      <c r="C495" s="5" t="s">
        <v>1827</v>
      </c>
      <c r="D495" s="5" t="s">
        <v>1851</v>
      </c>
      <c r="E495" s="5" t="s">
        <v>1852</v>
      </c>
      <c r="F495" s="4" t="s">
        <v>67</v>
      </c>
      <c r="G495" s="4" t="s">
        <v>1830</v>
      </c>
      <c r="H495" s="6" t="s">
        <v>1831</v>
      </c>
      <c r="I495" s="5" t="s">
        <v>1853</v>
      </c>
      <c r="J495" s="4" t="n">
        <v>0.91</v>
      </c>
      <c r="K495" s="4"/>
      <c r="L495" s="4" t="s">
        <v>26</v>
      </c>
      <c r="M495" s="5"/>
      <c r="N495" s="4" t="s">
        <v>27</v>
      </c>
      <c r="O495" s="5" t="s">
        <v>1833</v>
      </c>
    </row>
    <row r="496" customFormat="false" ht="60" hidden="false" customHeight="true" outlineLevel="0" collapsed="false">
      <c r="A496" s="7" t="s">
        <v>1854</v>
      </c>
      <c r="B496" s="8" t="s">
        <v>1784</v>
      </c>
      <c r="C496" s="8" t="s">
        <v>1827</v>
      </c>
      <c r="D496" s="8" t="s">
        <v>1855</v>
      </c>
      <c r="E496" s="8" t="s">
        <v>1856</v>
      </c>
      <c r="F496" s="7" t="s">
        <v>53</v>
      </c>
      <c r="G496" s="7" t="s">
        <v>1830</v>
      </c>
      <c r="H496" s="9" t="s">
        <v>1831</v>
      </c>
      <c r="I496" s="8" t="s">
        <v>1857</v>
      </c>
      <c r="J496" s="7" t="n">
        <v>0.46</v>
      </c>
      <c r="K496" s="7"/>
      <c r="L496" s="7" t="s">
        <v>26</v>
      </c>
      <c r="M496" s="8"/>
      <c r="N496" s="7" t="s">
        <v>27</v>
      </c>
      <c r="O496" s="8" t="s">
        <v>1833</v>
      </c>
    </row>
    <row r="497" customFormat="false" ht="60" hidden="false" customHeight="true" outlineLevel="0" collapsed="false">
      <c r="A497" s="4" t="s">
        <v>1858</v>
      </c>
      <c r="B497" s="5" t="s">
        <v>1784</v>
      </c>
      <c r="C497" s="5" t="s">
        <v>1827</v>
      </c>
      <c r="D497" s="5" t="s">
        <v>1859</v>
      </c>
      <c r="E497" s="5" t="s">
        <v>1860</v>
      </c>
      <c r="F497" s="4" t="s">
        <v>58</v>
      </c>
      <c r="G497" s="4" t="s">
        <v>1830</v>
      </c>
      <c r="H497" s="6" t="s">
        <v>1831</v>
      </c>
      <c r="I497" s="5" t="s">
        <v>1861</v>
      </c>
      <c r="J497" s="4" t="n">
        <v>0.36</v>
      </c>
      <c r="K497" s="4"/>
      <c r="L497" s="4" t="s">
        <v>26</v>
      </c>
      <c r="M497" s="5"/>
      <c r="N497" s="4" t="s">
        <v>27</v>
      </c>
      <c r="O497" s="5" t="s">
        <v>1833</v>
      </c>
    </row>
    <row r="498" customFormat="false" ht="60" hidden="false" customHeight="true" outlineLevel="0" collapsed="false">
      <c r="A498" s="7" t="s">
        <v>1862</v>
      </c>
      <c r="B498" s="8" t="s">
        <v>1784</v>
      </c>
      <c r="C498" s="8" t="s">
        <v>1827</v>
      </c>
      <c r="D498" s="8" t="s">
        <v>1863</v>
      </c>
      <c r="E498" s="8" t="s">
        <v>1864</v>
      </c>
      <c r="F498" s="7" t="s">
        <v>67</v>
      </c>
      <c r="G498" s="7" t="s">
        <v>1830</v>
      </c>
      <c r="H498" s="9" t="s">
        <v>1831</v>
      </c>
      <c r="I498" s="8" t="s">
        <v>1865</v>
      </c>
      <c r="J498" s="7" t="n">
        <v>0.21</v>
      </c>
      <c r="K498" s="7"/>
      <c r="L498" s="7" t="s">
        <v>26</v>
      </c>
      <c r="M498" s="8"/>
      <c r="N498" s="7" t="s">
        <v>27</v>
      </c>
      <c r="O498" s="8" t="s">
        <v>1833</v>
      </c>
    </row>
    <row r="499" customFormat="false" ht="60" hidden="false" customHeight="true" outlineLevel="0" collapsed="false">
      <c r="A499" s="4" t="s">
        <v>1866</v>
      </c>
      <c r="B499" s="5" t="s">
        <v>1784</v>
      </c>
      <c r="C499" s="5" t="s">
        <v>1827</v>
      </c>
      <c r="D499" s="5" t="s">
        <v>1867</v>
      </c>
      <c r="E499" s="5" t="s">
        <v>1868</v>
      </c>
      <c r="F499" s="4" t="s">
        <v>76</v>
      </c>
      <c r="G499" s="4" t="s">
        <v>1830</v>
      </c>
      <c r="H499" s="6" t="s">
        <v>1831</v>
      </c>
      <c r="I499" s="5" t="s">
        <v>1869</v>
      </c>
      <c r="J499" s="4" t="n">
        <v>0.6</v>
      </c>
      <c r="K499" s="4"/>
      <c r="L499" s="4" t="s">
        <v>26</v>
      </c>
      <c r="M499" s="5"/>
      <c r="N499" s="4" t="s">
        <v>27</v>
      </c>
      <c r="O499" s="5" t="s">
        <v>1833</v>
      </c>
    </row>
    <row r="500" customFormat="false" ht="60" hidden="false" customHeight="true" outlineLevel="0" collapsed="false">
      <c r="A500" s="7" t="s">
        <v>1870</v>
      </c>
      <c r="B500" s="8" t="s">
        <v>1784</v>
      </c>
      <c r="C500" s="8" t="s">
        <v>1871</v>
      </c>
      <c r="D500" s="8" t="s">
        <v>1872</v>
      </c>
      <c r="E500" s="8" t="s">
        <v>1873</v>
      </c>
      <c r="F500" s="7" t="s">
        <v>22</v>
      </c>
      <c r="G500" s="7" t="s">
        <v>1830</v>
      </c>
      <c r="H500" s="9" t="s">
        <v>1831</v>
      </c>
      <c r="I500" s="8" t="s">
        <v>1874</v>
      </c>
      <c r="J500" s="7" t="n">
        <v>1.7</v>
      </c>
      <c r="K500" s="7"/>
      <c r="L500" s="7" t="s">
        <v>26</v>
      </c>
      <c r="M500" s="8"/>
      <c r="N500" s="7" t="s">
        <v>27</v>
      </c>
      <c r="O500" s="8" t="s">
        <v>1875</v>
      </c>
    </row>
    <row r="501" customFormat="false" ht="60" hidden="false" customHeight="true" outlineLevel="0" collapsed="false">
      <c r="A501" s="4" t="s">
        <v>1876</v>
      </c>
      <c r="B501" s="5" t="s">
        <v>1784</v>
      </c>
      <c r="C501" s="5" t="s">
        <v>1871</v>
      </c>
      <c r="D501" s="5" t="s">
        <v>1877</v>
      </c>
      <c r="E501" s="5" t="s">
        <v>1878</v>
      </c>
      <c r="F501" s="4" t="s">
        <v>22</v>
      </c>
      <c r="G501" s="4" t="s">
        <v>1830</v>
      </c>
      <c r="H501" s="6" t="s">
        <v>1831</v>
      </c>
      <c r="I501" s="5" t="s">
        <v>1879</v>
      </c>
      <c r="J501" s="4" t="n">
        <v>1.36</v>
      </c>
      <c r="K501" s="4"/>
      <c r="L501" s="4" t="s">
        <v>26</v>
      </c>
      <c r="M501" s="5"/>
      <c r="N501" s="4" t="s">
        <v>27</v>
      </c>
      <c r="O501" s="5" t="s">
        <v>1875</v>
      </c>
    </row>
    <row r="502" customFormat="false" ht="60" hidden="false" customHeight="true" outlineLevel="0" collapsed="false">
      <c r="A502" s="7" t="s">
        <v>1880</v>
      </c>
      <c r="B502" s="8" t="s">
        <v>1784</v>
      </c>
      <c r="C502" s="8" t="s">
        <v>1871</v>
      </c>
      <c r="D502" s="8" t="s">
        <v>1881</v>
      </c>
      <c r="E502" s="8" t="s">
        <v>1882</v>
      </c>
      <c r="F502" s="7" t="s">
        <v>36</v>
      </c>
      <c r="G502" s="7" t="s">
        <v>1830</v>
      </c>
      <c r="H502" s="9" t="s">
        <v>1831</v>
      </c>
      <c r="I502" s="8" t="s">
        <v>1883</v>
      </c>
      <c r="J502" s="7" t="n">
        <v>1.48</v>
      </c>
      <c r="K502" s="7"/>
      <c r="L502" s="7" t="s">
        <v>26</v>
      </c>
      <c r="M502" s="8"/>
      <c r="N502" s="7" t="s">
        <v>27</v>
      </c>
      <c r="O502" s="8" t="s">
        <v>1875</v>
      </c>
    </row>
    <row r="503" customFormat="false" ht="60" hidden="false" customHeight="true" outlineLevel="0" collapsed="false">
      <c r="A503" s="4" t="s">
        <v>1884</v>
      </c>
      <c r="B503" s="5" t="s">
        <v>1784</v>
      </c>
      <c r="C503" s="5" t="s">
        <v>1871</v>
      </c>
      <c r="D503" s="5" t="s">
        <v>1885</v>
      </c>
      <c r="E503" s="5" t="s">
        <v>1886</v>
      </c>
      <c r="F503" s="4" t="s">
        <v>36</v>
      </c>
      <c r="G503" s="4" t="s">
        <v>1830</v>
      </c>
      <c r="H503" s="6" t="s">
        <v>1831</v>
      </c>
      <c r="I503" s="5" t="s">
        <v>1887</v>
      </c>
      <c r="J503" s="4" t="n">
        <v>3.98</v>
      </c>
      <c r="K503" s="4"/>
      <c r="L503" s="4" t="s">
        <v>26</v>
      </c>
      <c r="M503" s="5"/>
      <c r="N503" s="4" t="s">
        <v>27</v>
      </c>
      <c r="O503" s="5" t="s">
        <v>1875</v>
      </c>
    </row>
    <row r="504" customFormat="false" ht="60" hidden="false" customHeight="true" outlineLevel="0" collapsed="false">
      <c r="A504" s="7" t="s">
        <v>1888</v>
      </c>
      <c r="B504" s="8" t="s">
        <v>1784</v>
      </c>
      <c r="C504" s="8" t="s">
        <v>1871</v>
      </c>
      <c r="D504" s="8" t="s">
        <v>1889</v>
      </c>
      <c r="E504" s="8" t="s">
        <v>1890</v>
      </c>
      <c r="F504" s="7" t="s">
        <v>36</v>
      </c>
      <c r="G504" s="7" t="s">
        <v>1830</v>
      </c>
      <c r="H504" s="9" t="s">
        <v>1831</v>
      </c>
      <c r="I504" s="8" t="s">
        <v>1891</v>
      </c>
      <c r="J504" s="7" t="n">
        <v>1.7</v>
      </c>
      <c r="K504" s="7"/>
      <c r="L504" s="7" t="s">
        <v>26</v>
      </c>
      <c r="M504" s="8"/>
      <c r="N504" s="7" t="s">
        <v>27</v>
      </c>
      <c r="O504" s="8" t="s">
        <v>1875</v>
      </c>
    </row>
    <row r="505" customFormat="false" ht="60" hidden="false" customHeight="true" outlineLevel="0" collapsed="false">
      <c r="A505" s="4" t="s">
        <v>1892</v>
      </c>
      <c r="B505" s="5" t="s">
        <v>1784</v>
      </c>
      <c r="C505" s="5" t="s">
        <v>1871</v>
      </c>
      <c r="D505" s="5" t="s">
        <v>1893</v>
      </c>
      <c r="E505" s="5" t="s">
        <v>1894</v>
      </c>
      <c r="F505" s="4" t="s">
        <v>67</v>
      </c>
      <c r="G505" s="4" t="s">
        <v>1830</v>
      </c>
      <c r="H505" s="6" t="s">
        <v>1831</v>
      </c>
      <c r="I505" s="5" t="s">
        <v>1895</v>
      </c>
      <c r="J505" s="4" t="n">
        <v>1.14</v>
      </c>
      <c r="K505" s="4"/>
      <c r="L505" s="4" t="s">
        <v>26</v>
      </c>
      <c r="M505" s="5"/>
      <c r="N505" s="4" t="s">
        <v>27</v>
      </c>
      <c r="O505" s="5" t="s">
        <v>1875</v>
      </c>
    </row>
    <row r="506" customFormat="false" ht="60" hidden="false" customHeight="true" outlineLevel="0" collapsed="false">
      <c r="A506" s="7" t="s">
        <v>1896</v>
      </c>
      <c r="B506" s="8" t="s">
        <v>1784</v>
      </c>
      <c r="C506" s="8" t="s">
        <v>1871</v>
      </c>
      <c r="D506" s="8" t="s">
        <v>1897</v>
      </c>
      <c r="E506" s="8" t="s">
        <v>1898</v>
      </c>
      <c r="F506" s="7" t="s">
        <v>53</v>
      </c>
      <c r="G506" s="7" t="s">
        <v>1830</v>
      </c>
      <c r="H506" s="9" t="s">
        <v>1831</v>
      </c>
      <c r="I506" s="8" t="s">
        <v>1899</v>
      </c>
      <c r="J506" s="7" t="n">
        <v>0.58</v>
      </c>
      <c r="K506" s="7"/>
      <c r="L506" s="7" t="s">
        <v>26</v>
      </c>
      <c r="M506" s="8"/>
      <c r="N506" s="7" t="s">
        <v>27</v>
      </c>
      <c r="O506" s="8" t="s">
        <v>1875</v>
      </c>
    </row>
    <row r="507" customFormat="false" ht="60" hidden="false" customHeight="true" outlineLevel="0" collapsed="false">
      <c r="A507" s="4" t="s">
        <v>1900</v>
      </c>
      <c r="B507" s="5" t="s">
        <v>1784</v>
      </c>
      <c r="C507" s="5" t="s">
        <v>1871</v>
      </c>
      <c r="D507" s="5" t="s">
        <v>1901</v>
      </c>
      <c r="E507" s="5" t="s">
        <v>1902</v>
      </c>
      <c r="F507" s="4" t="s">
        <v>58</v>
      </c>
      <c r="G507" s="4" t="s">
        <v>1830</v>
      </c>
      <c r="H507" s="6" t="s">
        <v>1831</v>
      </c>
      <c r="I507" s="5" t="s">
        <v>1903</v>
      </c>
      <c r="J507" s="4" t="n">
        <v>0.45</v>
      </c>
      <c r="K507" s="4"/>
      <c r="L507" s="4" t="s">
        <v>26</v>
      </c>
      <c r="M507" s="5"/>
      <c r="N507" s="4" t="s">
        <v>27</v>
      </c>
      <c r="O507" s="5" t="s">
        <v>1875</v>
      </c>
    </row>
    <row r="508" customFormat="false" ht="60" hidden="false" customHeight="true" outlineLevel="0" collapsed="false">
      <c r="A508" s="7" t="s">
        <v>1904</v>
      </c>
      <c r="B508" s="8" t="s">
        <v>1784</v>
      </c>
      <c r="C508" s="8" t="s">
        <v>1871</v>
      </c>
      <c r="D508" s="8" t="s">
        <v>1905</v>
      </c>
      <c r="E508" s="8" t="s">
        <v>1906</v>
      </c>
      <c r="F508" s="7" t="s">
        <v>67</v>
      </c>
      <c r="G508" s="7" t="s">
        <v>1830</v>
      </c>
      <c r="H508" s="9" t="s">
        <v>1831</v>
      </c>
      <c r="I508" s="8" t="s">
        <v>1907</v>
      </c>
      <c r="J508" s="7" t="n">
        <v>0.26</v>
      </c>
      <c r="K508" s="7"/>
      <c r="L508" s="7" t="s">
        <v>26</v>
      </c>
      <c r="M508" s="8"/>
      <c r="N508" s="7" t="s">
        <v>27</v>
      </c>
      <c r="O508" s="8" t="s">
        <v>1875</v>
      </c>
    </row>
    <row r="509" customFormat="false" ht="60" hidden="false" customHeight="true" outlineLevel="0" collapsed="false">
      <c r="A509" s="4" t="s">
        <v>1908</v>
      </c>
      <c r="B509" s="5" t="s">
        <v>1784</v>
      </c>
      <c r="C509" s="5" t="s">
        <v>1871</v>
      </c>
      <c r="D509" s="5" t="s">
        <v>1909</v>
      </c>
      <c r="E509" s="5" t="s">
        <v>1910</v>
      </c>
      <c r="F509" s="4" t="s">
        <v>76</v>
      </c>
      <c r="G509" s="4" t="s">
        <v>1830</v>
      </c>
      <c r="H509" s="6" t="s">
        <v>1831</v>
      </c>
      <c r="I509" s="5" t="s">
        <v>1911</v>
      </c>
      <c r="J509" s="4" t="n">
        <v>0.76</v>
      </c>
      <c r="K509" s="4"/>
      <c r="L509" s="4" t="s">
        <v>26</v>
      </c>
      <c r="M509" s="5"/>
      <c r="N509" s="4" t="s">
        <v>27</v>
      </c>
      <c r="O509" s="5" t="s">
        <v>1875</v>
      </c>
    </row>
    <row r="510" customFormat="false" ht="60" hidden="false" customHeight="true" outlineLevel="0" collapsed="false">
      <c r="A510" s="7" t="s">
        <v>1912</v>
      </c>
      <c r="B510" s="8" t="s">
        <v>1784</v>
      </c>
      <c r="C510" s="8" t="s">
        <v>1913</v>
      </c>
      <c r="D510" s="8" t="s">
        <v>675</v>
      </c>
      <c r="E510" s="8" t="s">
        <v>676</v>
      </c>
      <c r="F510" s="7" t="s">
        <v>22</v>
      </c>
      <c r="G510" s="7" t="s">
        <v>1830</v>
      </c>
      <c r="H510" s="9" t="s">
        <v>1831</v>
      </c>
      <c r="I510" s="8" t="s">
        <v>1914</v>
      </c>
      <c r="J510" s="7" t="n">
        <v>1.02</v>
      </c>
      <c r="K510" s="7"/>
      <c r="L510" s="7" t="s">
        <v>26</v>
      </c>
      <c r="M510" s="8"/>
      <c r="N510" s="7" t="s">
        <v>27</v>
      </c>
      <c r="O510" s="8" t="s">
        <v>1915</v>
      </c>
    </row>
    <row r="511" customFormat="false" ht="60" hidden="false" customHeight="true" outlineLevel="0" collapsed="false">
      <c r="A511" s="4" t="s">
        <v>1916</v>
      </c>
      <c r="B511" s="5" t="s">
        <v>1784</v>
      </c>
      <c r="C511" s="5" t="s">
        <v>1913</v>
      </c>
      <c r="D511" s="5" t="s">
        <v>680</v>
      </c>
      <c r="E511" s="5" t="s">
        <v>681</v>
      </c>
      <c r="F511" s="4" t="s">
        <v>22</v>
      </c>
      <c r="G511" s="4" t="s">
        <v>1830</v>
      </c>
      <c r="H511" s="6" t="s">
        <v>1831</v>
      </c>
      <c r="I511" s="5" t="s">
        <v>1917</v>
      </c>
      <c r="J511" s="4" t="n">
        <v>0.82</v>
      </c>
      <c r="K511" s="4"/>
      <c r="L511" s="4" t="s">
        <v>26</v>
      </c>
      <c r="M511" s="5"/>
      <c r="N511" s="4" t="s">
        <v>27</v>
      </c>
      <c r="O511" s="5" t="s">
        <v>1915</v>
      </c>
    </row>
    <row r="512" customFormat="false" ht="60" hidden="false" customHeight="true" outlineLevel="0" collapsed="false">
      <c r="A512" s="7" t="s">
        <v>1918</v>
      </c>
      <c r="B512" s="8" t="s">
        <v>1784</v>
      </c>
      <c r="C512" s="8" t="s">
        <v>1913</v>
      </c>
      <c r="D512" s="8" t="s">
        <v>684</v>
      </c>
      <c r="E512" s="8" t="s">
        <v>685</v>
      </c>
      <c r="F512" s="7" t="s">
        <v>36</v>
      </c>
      <c r="G512" s="7" t="s">
        <v>1830</v>
      </c>
      <c r="H512" s="9" t="s">
        <v>1831</v>
      </c>
      <c r="I512" s="8" t="s">
        <v>1919</v>
      </c>
      <c r="J512" s="7" t="n">
        <v>0.89</v>
      </c>
      <c r="K512" s="7"/>
      <c r="L512" s="7" t="s">
        <v>26</v>
      </c>
      <c r="M512" s="8"/>
      <c r="N512" s="7" t="s">
        <v>27</v>
      </c>
      <c r="O512" s="8" t="s">
        <v>1915</v>
      </c>
    </row>
    <row r="513" customFormat="false" ht="60" hidden="false" customHeight="true" outlineLevel="0" collapsed="false">
      <c r="A513" s="4" t="s">
        <v>1920</v>
      </c>
      <c r="B513" s="5" t="s">
        <v>1784</v>
      </c>
      <c r="C513" s="5" t="s">
        <v>1913</v>
      </c>
      <c r="D513" s="5" t="s">
        <v>688</v>
      </c>
      <c r="E513" s="5" t="s">
        <v>689</v>
      </c>
      <c r="F513" s="4" t="s">
        <v>36</v>
      </c>
      <c r="G513" s="4" t="s">
        <v>1830</v>
      </c>
      <c r="H513" s="6" t="s">
        <v>1831</v>
      </c>
      <c r="I513" s="5" t="s">
        <v>1921</v>
      </c>
      <c r="J513" s="4" t="n">
        <v>2.39</v>
      </c>
      <c r="K513" s="4"/>
      <c r="L513" s="4" t="s">
        <v>26</v>
      </c>
      <c r="M513" s="5"/>
      <c r="N513" s="4" t="s">
        <v>27</v>
      </c>
      <c r="O513" s="5" t="s">
        <v>1915</v>
      </c>
    </row>
    <row r="514" customFormat="false" ht="60" hidden="false" customHeight="true" outlineLevel="0" collapsed="false">
      <c r="A514" s="7" t="s">
        <v>1922</v>
      </c>
      <c r="B514" s="8" t="s">
        <v>1784</v>
      </c>
      <c r="C514" s="8" t="s">
        <v>1913</v>
      </c>
      <c r="D514" s="8" t="s">
        <v>692</v>
      </c>
      <c r="E514" s="8" t="s">
        <v>693</v>
      </c>
      <c r="F514" s="7" t="s">
        <v>36</v>
      </c>
      <c r="G514" s="7" t="s">
        <v>1830</v>
      </c>
      <c r="H514" s="9" t="s">
        <v>1831</v>
      </c>
      <c r="I514" s="8" t="s">
        <v>1923</v>
      </c>
      <c r="J514" s="7" t="n">
        <v>1.02</v>
      </c>
      <c r="K514" s="7"/>
      <c r="L514" s="7" t="s">
        <v>26</v>
      </c>
      <c r="M514" s="8"/>
      <c r="N514" s="7" t="s">
        <v>27</v>
      </c>
      <c r="O514" s="8" t="s">
        <v>1915</v>
      </c>
    </row>
    <row r="515" customFormat="false" ht="60" hidden="false" customHeight="true" outlineLevel="0" collapsed="false">
      <c r="A515" s="4" t="s">
        <v>1924</v>
      </c>
      <c r="B515" s="5" t="s">
        <v>1784</v>
      </c>
      <c r="C515" s="5" t="s">
        <v>1913</v>
      </c>
      <c r="D515" s="5" t="s">
        <v>696</v>
      </c>
      <c r="E515" s="5" t="s">
        <v>697</v>
      </c>
      <c r="F515" s="4" t="s">
        <v>67</v>
      </c>
      <c r="G515" s="4" t="s">
        <v>1830</v>
      </c>
      <c r="H515" s="6" t="s">
        <v>1831</v>
      </c>
      <c r="I515" s="5" t="s">
        <v>1925</v>
      </c>
      <c r="J515" s="4" t="n">
        <v>0.68</v>
      </c>
      <c r="K515" s="4"/>
      <c r="L515" s="4" t="s">
        <v>26</v>
      </c>
      <c r="M515" s="5"/>
      <c r="N515" s="4" t="s">
        <v>27</v>
      </c>
      <c r="O515" s="5" t="s">
        <v>1915</v>
      </c>
    </row>
    <row r="516" customFormat="false" ht="60" hidden="false" customHeight="true" outlineLevel="0" collapsed="false">
      <c r="A516" s="7" t="s">
        <v>1926</v>
      </c>
      <c r="B516" s="8" t="s">
        <v>1784</v>
      </c>
      <c r="C516" s="8" t="s">
        <v>1913</v>
      </c>
      <c r="D516" s="8" t="s">
        <v>700</v>
      </c>
      <c r="E516" s="8" t="s">
        <v>701</v>
      </c>
      <c r="F516" s="7" t="s">
        <v>53</v>
      </c>
      <c r="G516" s="7" t="s">
        <v>1830</v>
      </c>
      <c r="H516" s="9" t="s">
        <v>1831</v>
      </c>
      <c r="I516" s="8" t="s">
        <v>1927</v>
      </c>
      <c r="J516" s="7" t="n">
        <v>0.35</v>
      </c>
      <c r="K516" s="7"/>
      <c r="L516" s="7" t="s">
        <v>26</v>
      </c>
      <c r="M516" s="8"/>
      <c r="N516" s="7" t="s">
        <v>27</v>
      </c>
      <c r="O516" s="8" t="s">
        <v>1915</v>
      </c>
    </row>
    <row r="517" customFormat="false" ht="60" hidden="false" customHeight="true" outlineLevel="0" collapsed="false">
      <c r="A517" s="4" t="s">
        <v>1928</v>
      </c>
      <c r="B517" s="5" t="s">
        <v>1784</v>
      </c>
      <c r="C517" s="5" t="s">
        <v>1913</v>
      </c>
      <c r="D517" s="5" t="s">
        <v>704</v>
      </c>
      <c r="E517" s="5" t="s">
        <v>705</v>
      </c>
      <c r="F517" s="4" t="s">
        <v>58</v>
      </c>
      <c r="G517" s="4" t="s">
        <v>1830</v>
      </c>
      <c r="H517" s="6" t="s">
        <v>1831</v>
      </c>
      <c r="I517" s="5" t="s">
        <v>1929</v>
      </c>
      <c r="J517" s="4" t="n">
        <v>0.27</v>
      </c>
      <c r="K517" s="4"/>
      <c r="L517" s="4" t="s">
        <v>26</v>
      </c>
      <c r="M517" s="5"/>
      <c r="N517" s="4" t="s">
        <v>27</v>
      </c>
      <c r="O517" s="5" t="s">
        <v>1915</v>
      </c>
    </row>
    <row r="518" customFormat="false" ht="60" hidden="false" customHeight="true" outlineLevel="0" collapsed="false">
      <c r="A518" s="7" t="s">
        <v>1930</v>
      </c>
      <c r="B518" s="8" t="s">
        <v>1784</v>
      </c>
      <c r="C518" s="8" t="s">
        <v>1913</v>
      </c>
      <c r="D518" s="8" t="s">
        <v>708</v>
      </c>
      <c r="E518" s="8" t="s">
        <v>709</v>
      </c>
      <c r="F518" s="7" t="s">
        <v>67</v>
      </c>
      <c r="G518" s="7" t="s">
        <v>1830</v>
      </c>
      <c r="H518" s="9" t="s">
        <v>1831</v>
      </c>
      <c r="I518" s="8" t="s">
        <v>1931</v>
      </c>
      <c r="J518" s="7" t="n">
        <v>0.15</v>
      </c>
      <c r="K518" s="7"/>
      <c r="L518" s="7" t="s">
        <v>26</v>
      </c>
      <c r="M518" s="8"/>
      <c r="N518" s="7" t="s">
        <v>27</v>
      </c>
      <c r="O518" s="8" t="s">
        <v>1915</v>
      </c>
    </row>
    <row r="519" customFormat="false" ht="60" hidden="false" customHeight="true" outlineLevel="0" collapsed="false">
      <c r="A519" s="4" t="s">
        <v>1932</v>
      </c>
      <c r="B519" s="5" t="s">
        <v>1784</v>
      </c>
      <c r="C519" s="5" t="s">
        <v>1913</v>
      </c>
      <c r="D519" s="5" t="s">
        <v>712</v>
      </c>
      <c r="E519" s="5" t="s">
        <v>713</v>
      </c>
      <c r="F519" s="4" t="s">
        <v>76</v>
      </c>
      <c r="G519" s="4" t="s">
        <v>1830</v>
      </c>
      <c r="H519" s="6" t="s">
        <v>1831</v>
      </c>
      <c r="I519" s="5" t="s">
        <v>1933</v>
      </c>
      <c r="J519" s="4" t="n">
        <v>0.45</v>
      </c>
      <c r="K519" s="4"/>
      <c r="L519" s="4" t="s">
        <v>26</v>
      </c>
      <c r="M519" s="5"/>
      <c r="N519" s="4" t="s">
        <v>27</v>
      </c>
      <c r="O519" s="5" t="s">
        <v>1915</v>
      </c>
    </row>
    <row r="520" customFormat="false" ht="60" hidden="false" customHeight="true" outlineLevel="0" collapsed="false">
      <c r="A520" s="7" t="s">
        <v>1934</v>
      </c>
      <c r="B520" s="8" t="s">
        <v>1784</v>
      </c>
      <c r="C520" s="8" t="s">
        <v>1935</v>
      </c>
      <c r="D520" s="8" t="s">
        <v>1936</v>
      </c>
      <c r="E520" s="8" t="s">
        <v>1937</v>
      </c>
      <c r="F520" s="7" t="s">
        <v>22</v>
      </c>
      <c r="G520" s="7" t="s">
        <v>1830</v>
      </c>
      <c r="H520" s="9" t="s">
        <v>1831</v>
      </c>
      <c r="I520" s="8" t="s">
        <v>1938</v>
      </c>
      <c r="J520" s="7" t="n">
        <v>1.02</v>
      </c>
      <c r="K520" s="7"/>
      <c r="L520" s="7" t="s">
        <v>26</v>
      </c>
      <c r="M520" s="8"/>
      <c r="N520" s="7" t="s">
        <v>27</v>
      </c>
      <c r="O520" s="8" t="s">
        <v>1939</v>
      </c>
    </row>
    <row r="521" customFormat="false" ht="60" hidden="false" customHeight="true" outlineLevel="0" collapsed="false">
      <c r="A521" s="4" t="s">
        <v>1940</v>
      </c>
      <c r="B521" s="5" t="s">
        <v>1784</v>
      </c>
      <c r="C521" s="5" t="s">
        <v>1935</v>
      </c>
      <c r="D521" s="5" t="s">
        <v>1941</v>
      </c>
      <c r="E521" s="5" t="s">
        <v>1942</v>
      </c>
      <c r="F521" s="4" t="s">
        <v>22</v>
      </c>
      <c r="G521" s="4" t="s">
        <v>1830</v>
      </c>
      <c r="H521" s="6" t="s">
        <v>1831</v>
      </c>
      <c r="I521" s="5" t="s">
        <v>1943</v>
      </c>
      <c r="J521" s="4" t="n">
        <v>0.82</v>
      </c>
      <c r="K521" s="4"/>
      <c r="L521" s="4" t="s">
        <v>26</v>
      </c>
      <c r="M521" s="5"/>
      <c r="N521" s="4" t="s">
        <v>27</v>
      </c>
      <c r="O521" s="5" t="s">
        <v>1939</v>
      </c>
    </row>
    <row r="522" customFormat="false" ht="60" hidden="false" customHeight="true" outlineLevel="0" collapsed="false">
      <c r="A522" s="7" t="s">
        <v>1944</v>
      </c>
      <c r="B522" s="8" t="s">
        <v>1784</v>
      </c>
      <c r="C522" s="8" t="s">
        <v>1935</v>
      </c>
      <c r="D522" s="8" t="s">
        <v>1945</v>
      </c>
      <c r="E522" s="8" t="s">
        <v>1946</v>
      </c>
      <c r="F522" s="7" t="s">
        <v>36</v>
      </c>
      <c r="G522" s="7" t="s">
        <v>1830</v>
      </c>
      <c r="H522" s="9" t="s">
        <v>1831</v>
      </c>
      <c r="I522" s="8" t="s">
        <v>1947</v>
      </c>
      <c r="J522" s="7" t="n">
        <v>0.89</v>
      </c>
      <c r="K522" s="7"/>
      <c r="L522" s="7" t="s">
        <v>26</v>
      </c>
      <c r="M522" s="8"/>
      <c r="N522" s="7" t="s">
        <v>27</v>
      </c>
      <c r="O522" s="8" t="s">
        <v>1939</v>
      </c>
    </row>
    <row r="523" customFormat="false" ht="60" hidden="false" customHeight="true" outlineLevel="0" collapsed="false">
      <c r="A523" s="4" t="s">
        <v>1948</v>
      </c>
      <c r="B523" s="5" t="s">
        <v>1784</v>
      </c>
      <c r="C523" s="5" t="s">
        <v>1935</v>
      </c>
      <c r="D523" s="5" t="s">
        <v>1949</v>
      </c>
      <c r="E523" s="5" t="s">
        <v>1950</v>
      </c>
      <c r="F523" s="4" t="s">
        <v>36</v>
      </c>
      <c r="G523" s="4" t="s">
        <v>1830</v>
      </c>
      <c r="H523" s="6" t="s">
        <v>1831</v>
      </c>
      <c r="I523" s="5" t="s">
        <v>1951</v>
      </c>
      <c r="J523" s="4" t="n">
        <v>2.39</v>
      </c>
      <c r="K523" s="4"/>
      <c r="L523" s="4" t="s">
        <v>26</v>
      </c>
      <c r="M523" s="5"/>
      <c r="N523" s="4" t="s">
        <v>27</v>
      </c>
      <c r="O523" s="5" t="s">
        <v>1939</v>
      </c>
    </row>
    <row r="524" customFormat="false" ht="60" hidden="false" customHeight="true" outlineLevel="0" collapsed="false">
      <c r="A524" s="7" t="s">
        <v>1952</v>
      </c>
      <c r="B524" s="8" t="s">
        <v>1784</v>
      </c>
      <c r="C524" s="8" t="s">
        <v>1935</v>
      </c>
      <c r="D524" s="8" t="s">
        <v>1953</v>
      </c>
      <c r="E524" s="8" t="s">
        <v>1954</v>
      </c>
      <c r="F524" s="7" t="s">
        <v>36</v>
      </c>
      <c r="G524" s="7" t="s">
        <v>1830</v>
      </c>
      <c r="H524" s="9" t="s">
        <v>1831</v>
      </c>
      <c r="I524" s="8" t="s">
        <v>1955</v>
      </c>
      <c r="J524" s="7" t="n">
        <v>1.02</v>
      </c>
      <c r="K524" s="7"/>
      <c r="L524" s="7" t="s">
        <v>26</v>
      </c>
      <c r="M524" s="8"/>
      <c r="N524" s="7" t="s">
        <v>27</v>
      </c>
      <c r="O524" s="8" t="s">
        <v>1939</v>
      </c>
    </row>
    <row r="525" customFormat="false" ht="60" hidden="false" customHeight="true" outlineLevel="0" collapsed="false">
      <c r="A525" s="4" t="s">
        <v>1956</v>
      </c>
      <c r="B525" s="5" t="s">
        <v>1784</v>
      </c>
      <c r="C525" s="5" t="s">
        <v>1935</v>
      </c>
      <c r="D525" s="5" t="s">
        <v>1957</v>
      </c>
      <c r="E525" s="5" t="s">
        <v>1958</v>
      </c>
      <c r="F525" s="4" t="s">
        <v>67</v>
      </c>
      <c r="G525" s="4" t="s">
        <v>1830</v>
      </c>
      <c r="H525" s="6" t="s">
        <v>1831</v>
      </c>
      <c r="I525" s="5" t="s">
        <v>1959</v>
      </c>
      <c r="J525" s="4" t="n">
        <v>0.68</v>
      </c>
      <c r="K525" s="4"/>
      <c r="L525" s="4" t="s">
        <v>26</v>
      </c>
      <c r="M525" s="5"/>
      <c r="N525" s="4" t="s">
        <v>27</v>
      </c>
      <c r="O525" s="5" t="s">
        <v>1939</v>
      </c>
    </row>
    <row r="526" customFormat="false" ht="60" hidden="false" customHeight="true" outlineLevel="0" collapsed="false">
      <c r="A526" s="7" t="s">
        <v>1960</v>
      </c>
      <c r="B526" s="8" t="s">
        <v>1784</v>
      </c>
      <c r="C526" s="8" t="s">
        <v>1935</v>
      </c>
      <c r="D526" s="8" t="s">
        <v>1961</v>
      </c>
      <c r="E526" s="8" t="s">
        <v>1962</v>
      </c>
      <c r="F526" s="7" t="s">
        <v>53</v>
      </c>
      <c r="G526" s="7" t="s">
        <v>1830</v>
      </c>
      <c r="H526" s="9" t="s">
        <v>1831</v>
      </c>
      <c r="I526" s="8" t="s">
        <v>1963</v>
      </c>
      <c r="J526" s="7" t="n">
        <v>0.35</v>
      </c>
      <c r="K526" s="7"/>
      <c r="L526" s="7" t="s">
        <v>26</v>
      </c>
      <c r="M526" s="8"/>
      <c r="N526" s="7" t="s">
        <v>27</v>
      </c>
      <c r="O526" s="8" t="s">
        <v>1939</v>
      </c>
    </row>
    <row r="527" customFormat="false" ht="60" hidden="false" customHeight="true" outlineLevel="0" collapsed="false">
      <c r="A527" s="4" t="s">
        <v>1964</v>
      </c>
      <c r="B527" s="5" t="s">
        <v>1784</v>
      </c>
      <c r="C527" s="5" t="s">
        <v>1935</v>
      </c>
      <c r="D527" s="5" t="s">
        <v>1965</v>
      </c>
      <c r="E527" s="5" t="s">
        <v>1966</v>
      </c>
      <c r="F527" s="4" t="s">
        <v>58</v>
      </c>
      <c r="G527" s="4" t="s">
        <v>1830</v>
      </c>
      <c r="H527" s="6" t="s">
        <v>1831</v>
      </c>
      <c r="I527" s="5" t="s">
        <v>1967</v>
      </c>
      <c r="J527" s="4" t="n">
        <v>0.27</v>
      </c>
      <c r="K527" s="4"/>
      <c r="L527" s="4" t="s">
        <v>26</v>
      </c>
      <c r="M527" s="5"/>
      <c r="N527" s="4" t="s">
        <v>27</v>
      </c>
      <c r="O527" s="5" t="s">
        <v>1939</v>
      </c>
    </row>
    <row r="528" customFormat="false" ht="60" hidden="false" customHeight="true" outlineLevel="0" collapsed="false">
      <c r="A528" s="7" t="s">
        <v>1968</v>
      </c>
      <c r="B528" s="8" t="s">
        <v>1784</v>
      </c>
      <c r="C528" s="8" t="s">
        <v>1935</v>
      </c>
      <c r="D528" s="8" t="s">
        <v>1969</v>
      </c>
      <c r="E528" s="8" t="s">
        <v>1970</v>
      </c>
      <c r="F528" s="7" t="s">
        <v>67</v>
      </c>
      <c r="G528" s="7" t="s">
        <v>1830</v>
      </c>
      <c r="H528" s="9" t="s">
        <v>1831</v>
      </c>
      <c r="I528" s="8" t="s">
        <v>1971</v>
      </c>
      <c r="J528" s="7" t="n">
        <v>0.15</v>
      </c>
      <c r="K528" s="7"/>
      <c r="L528" s="7" t="s">
        <v>26</v>
      </c>
      <c r="M528" s="8"/>
      <c r="N528" s="7" t="s">
        <v>27</v>
      </c>
      <c r="O528" s="8" t="s">
        <v>1939</v>
      </c>
    </row>
    <row r="529" customFormat="false" ht="60" hidden="false" customHeight="true" outlineLevel="0" collapsed="false">
      <c r="A529" s="4" t="s">
        <v>1972</v>
      </c>
      <c r="B529" s="5" t="s">
        <v>1784</v>
      </c>
      <c r="C529" s="5" t="s">
        <v>1935</v>
      </c>
      <c r="D529" s="5" t="s">
        <v>1973</v>
      </c>
      <c r="E529" s="5" t="s">
        <v>1974</v>
      </c>
      <c r="F529" s="4" t="s">
        <v>76</v>
      </c>
      <c r="G529" s="4" t="s">
        <v>1830</v>
      </c>
      <c r="H529" s="6" t="s">
        <v>1831</v>
      </c>
      <c r="I529" s="5" t="s">
        <v>1975</v>
      </c>
      <c r="J529" s="4" t="n">
        <v>0.45</v>
      </c>
      <c r="K529" s="4"/>
      <c r="L529" s="4" t="s">
        <v>26</v>
      </c>
      <c r="M529" s="5"/>
      <c r="N529" s="4" t="s">
        <v>27</v>
      </c>
      <c r="O529" s="5" t="s">
        <v>1939</v>
      </c>
    </row>
    <row r="530" customFormat="false" ht="60" hidden="false" customHeight="true" outlineLevel="0" collapsed="false">
      <c r="A530" s="7" t="s">
        <v>1976</v>
      </c>
      <c r="B530" s="8" t="s">
        <v>1784</v>
      </c>
      <c r="C530" s="8" t="s">
        <v>1977</v>
      </c>
      <c r="D530" s="8" t="s">
        <v>122</v>
      </c>
      <c r="E530" s="8" t="s">
        <v>1978</v>
      </c>
      <c r="F530" s="7" t="s">
        <v>22</v>
      </c>
      <c r="G530" s="7" t="s">
        <v>1830</v>
      </c>
      <c r="H530" s="9" t="s">
        <v>1831</v>
      </c>
      <c r="I530" s="8" t="s">
        <v>1979</v>
      </c>
      <c r="J530" s="7" t="n">
        <v>0.68</v>
      </c>
      <c r="K530" s="7"/>
      <c r="L530" s="7" t="s">
        <v>26</v>
      </c>
      <c r="M530" s="8"/>
      <c r="N530" s="7" t="s">
        <v>27</v>
      </c>
      <c r="O530" s="8" t="s">
        <v>1980</v>
      </c>
    </row>
    <row r="531" customFormat="false" ht="60" hidden="false" customHeight="true" outlineLevel="0" collapsed="false">
      <c r="A531" s="4" t="s">
        <v>1981</v>
      </c>
      <c r="B531" s="5" t="s">
        <v>1784</v>
      </c>
      <c r="C531" s="5" t="s">
        <v>1977</v>
      </c>
      <c r="D531" s="5" t="s">
        <v>127</v>
      </c>
      <c r="E531" s="5" t="s">
        <v>1982</v>
      </c>
      <c r="F531" s="4" t="s">
        <v>22</v>
      </c>
      <c r="G531" s="4" t="s">
        <v>1830</v>
      </c>
      <c r="H531" s="6" t="s">
        <v>1831</v>
      </c>
      <c r="I531" s="5" t="s">
        <v>1983</v>
      </c>
      <c r="J531" s="4" t="n">
        <v>0.55</v>
      </c>
      <c r="K531" s="4"/>
      <c r="L531" s="4" t="s">
        <v>26</v>
      </c>
      <c r="M531" s="5"/>
      <c r="N531" s="4" t="s">
        <v>27</v>
      </c>
      <c r="O531" s="5" t="s">
        <v>1980</v>
      </c>
    </row>
    <row r="532" customFormat="false" ht="60" hidden="false" customHeight="true" outlineLevel="0" collapsed="false">
      <c r="A532" s="7" t="s">
        <v>1984</v>
      </c>
      <c r="B532" s="8" t="s">
        <v>1784</v>
      </c>
      <c r="C532" s="8" t="s">
        <v>1977</v>
      </c>
      <c r="D532" s="8" t="s">
        <v>131</v>
      </c>
      <c r="E532" s="8" t="s">
        <v>1985</v>
      </c>
      <c r="F532" s="7" t="s">
        <v>36</v>
      </c>
      <c r="G532" s="7" t="s">
        <v>1830</v>
      </c>
      <c r="H532" s="9" t="s">
        <v>1831</v>
      </c>
      <c r="I532" s="8" t="s">
        <v>1986</v>
      </c>
      <c r="J532" s="7" t="n">
        <v>0.59</v>
      </c>
      <c r="K532" s="7"/>
      <c r="L532" s="7" t="s">
        <v>26</v>
      </c>
      <c r="M532" s="8"/>
      <c r="N532" s="7" t="s">
        <v>27</v>
      </c>
      <c r="O532" s="8" t="s">
        <v>1980</v>
      </c>
    </row>
    <row r="533" customFormat="false" ht="60" hidden="false" customHeight="true" outlineLevel="0" collapsed="false">
      <c r="A533" s="4" t="s">
        <v>1987</v>
      </c>
      <c r="B533" s="5" t="s">
        <v>1784</v>
      </c>
      <c r="C533" s="5" t="s">
        <v>1977</v>
      </c>
      <c r="D533" s="5" t="s">
        <v>1988</v>
      </c>
      <c r="E533" s="5" t="s">
        <v>1989</v>
      </c>
      <c r="F533" s="4" t="s">
        <v>36</v>
      </c>
      <c r="G533" s="4" t="s">
        <v>1830</v>
      </c>
      <c r="H533" s="6" t="s">
        <v>1831</v>
      </c>
      <c r="I533" s="5" t="s">
        <v>1990</v>
      </c>
      <c r="J533" s="4" t="n">
        <v>1.59</v>
      </c>
      <c r="K533" s="4"/>
      <c r="L533" s="4" t="s">
        <v>26</v>
      </c>
      <c r="M533" s="5"/>
      <c r="N533" s="4" t="s">
        <v>27</v>
      </c>
      <c r="O533" s="5" t="s">
        <v>1980</v>
      </c>
    </row>
    <row r="534" customFormat="false" ht="60" hidden="false" customHeight="true" outlineLevel="0" collapsed="false">
      <c r="A534" s="7" t="s">
        <v>1991</v>
      </c>
      <c r="B534" s="8" t="s">
        <v>1784</v>
      </c>
      <c r="C534" s="8" t="s">
        <v>1977</v>
      </c>
      <c r="D534" s="8" t="s">
        <v>1992</v>
      </c>
      <c r="E534" s="8" t="s">
        <v>1993</v>
      </c>
      <c r="F534" s="7" t="s">
        <v>36</v>
      </c>
      <c r="G534" s="7" t="s">
        <v>1830</v>
      </c>
      <c r="H534" s="9" t="s">
        <v>1831</v>
      </c>
      <c r="I534" s="8" t="s">
        <v>1994</v>
      </c>
      <c r="J534" s="7" t="n">
        <v>0.68</v>
      </c>
      <c r="K534" s="7"/>
      <c r="L534" s="7" t="s">
        <v>26</v>
      </c>
      <c r="M534" s="8"/>
      <c r="N534" s="7" t="s">
        <v>27</v>
      </c>
      <c r="O534" s="8" t="s">
        <v>1980</v>
      </c>
    </row>
    <row r="535" customFormat="false" ht="60" hidden="false" customHeight="true" outlineLevel="0" collapsed="false">
      <c r="A535" s="4" t="s">
        <v>1995</v>
      </c>
      <c r="B535" s="5" t="s">
        <v>1784</v>
      </c>
      <c r="C535" s="5" t="s">
        <v>1977</v>
      </c>
      <c r="D535" s="5" t="s">
        <v>1996</v>
      </c>
      <c r="E535" s="5" t="s">
        <v>1997</v>
      </c>
      <c r="F535" s="4" t="s">
        <v>67</v>
      </c>
      <c r="G535" s="4" t="s">
        <v>1830</v>
      </c>
      <c r="H535" s="6" t="s">
        <v>1831</v>
      </c>
      <c r="I535" s="5" t="s">
        <v>1998</v>
      </c>
      <c r="J535" s="4" t="n">
        <v>0.45</v>
      </c>
      <c r="K535" s="4"/>
      <c r="L535" s="4" t="s">
        <v>26</v>
      </c>
      <c r="M535" s="5"/>
      <c r="N535" s="4" t="s">
        <v>27</v>
      </c>
      <c r="O535" s="5" t="s">
        <v>1980</v>
      </c>
    </row>
    <row r="536" customFormat="false" ht="60" hidden="false" customHeight="true" outlineLevel="0" collapsed="false">
      <c r="A536" s="7" t="s">
        <v>1999</v>
      </c>
      <c r="B536" s="8" t="s">
        <v>1784</v>
      </c>
      <c r="C536" s="8" t="s">
        <v>1977</v>
      </c>
      <c r="D536" s="8" t="s">
        <v>2000</v>
      </c>
      <c r="E536" s="8" t="s">
        <v>2001</v>
      </c>
      <c r="F536" s="7" t="s">
        <v>53</v>
      </c>
      <c r="G536" s="7" t="s">
        <v>1830</v>
      </c>
      <c r="H536" s="9" t="s">
        <v>1831</v>
      </c>
      <c r="I536" s="8" t="s">
        <v>2002</v>
      </c>
      <c r="J536" s="7" t="n">
        <v>0.23</v>
      </c>
      <c r="K536" s="7"/>
      <c r="L536" s="7" t="s">
        <v>26</v>
      </c>
      <c r="M536" s="8"/>
      <c r="N536" s="7" t="s">
        <v>27</v>
      </c>
      <c r="O536" s="8" t="s">
        <v>1980</v>
      </c>
    </row>
    <row r="537" customFormat="false" ht="60" hidden="false" customHeight="true" outlineLevel="0" collapsed="false">
      <c r="A537" s="4" t="s">
        <v>2003</v>
      </c>
      <c r="B537" s="5" t="s">
        <v>1784</v>
      </c>
      <c r="C537" s="5" t="s">
        <v>1977</v>
      </c>
      <c r="D537" s="5" t="s">
        <v>2004</v>
      </c>
      <c r="E537" s="5" t="s">
        <v>2005</v>
      </c>
      <c r="F537" s="4" t="s">
        <v>58</v>
      </c>
      <c r="G537" s="4" t="s">
        <v>1830</v>
      </c>
      <c r="H537" s="6" t="s">
        <v>1831</v>
      </c>
      <c r="I537" s="5" t="s">
        <v>2006</v>
      </c>
      <c r="J537" s="4" t="n">
        <v>0.18</v>
      </c>
      <c r="K537" s="4"/>
      <c r="L537" s="4" t="s">
        <v>26</v>
      </c>
      <c r="M537" s="5"/>
      <c r="N537" s="4" t="s">
        <v>27</v>
      </c>
      <c r="O537" s="5" t="s">
        <v>1980</v>
      </c>
    </row>
    <row r="538" customFormat="false" ht="60" hidden="false" customHeight="true" outlineLevel="0" collapsed="false">
      <c r="A538" s="7" t="s">
        <v>2007</v>
      </c>
      <c r="B538" s="8" t="s">
        <v>1784</v>
      </c>
      <c r="C538" s="8" t="s">
        <v>1977</v>
      </c>
      <c r="D538" s="8" t="s">
        <v>2008</v>
      </c>
      <c r="E538" s="8" t="s">
        <v>2009</v>
      </c>
      <c r="F538" s="7" t="s">
        <v>67</v>
      </c>
      <c r="G538" s="7" t="s">
        <v>1830</v>
      </c>
      <c r="H538" s="9" t="s">
        <v>1831</v>
      </c>
      <c r="I538" s="8" t="s">
        <v>2010</v>
      </c>
      <c r="J538" s="7" t="n">
        <v>0.1</v>
      </c>
      <c r="K538" s="7"/>
      <c r="L538" s="7" t="s">
        <v>26</v>
      </c>
      <c r="M538" s="8"/>
      <c r="N538" s="7" t="s">
        <v>27</v>
      </c>
      <c r="O538" s="8" t="s">
        <v>1980</v>
      </c>
    </row>
    <row r="539" customFormat="false" ht="60" hidden="false" customHeight="true" outlineLevel="0" collapsed="false">
      <c r="A539" s="4" t="s">
        <v>2011</v>
      </c>
      <c r="B539" s="5" t="s">
        <v>1784</v>
      </c>
      <c r="C539" s="5" t="s">
        <v>1977</v>
      </c>
      <c r="D539" s="5" t="s">
        <v>2012</v>
      </c>
      <c r="E539" s="5" t="s">
        <v>2013</v>
      </c>
      <c r="F539" s="4" t="s">
        <v>76</v>
      </c>
      <c r="G539" s="4" t="s">
        <v>1830</v>
      </c>
      <c r="H539" s="6" t="s">
        <v>1831</v>
      </c>
      <c r="I539" s="5" t="s">
        <v>2014</v>
      </c>
      <c r="J539" s="4" t="n">
        <v>0.3</v>
      </c>
      <c r="K539" s="4"/>
      <c r="L539" s="4" t="s">
        <v>26</v>
      </c>
      <c r="M539" s="5"/>
      <c r="N539" s="4" t="s">
        <v>27</v>
      </c>
      <c r="O539" s="5" t="s">
        <v>1980</v>
      </c>
    </row>
    <row r="540" customFormat="false" ht="60" hidden="false" customHeight="true" outlineLevel="0" collapsed="false">
      <c r="A540" s="7" t="s">
        <v>2015</v>
      </c>
      <c r="B540" s="8" t="s">
        <v>2016</v>
      </c>
      <c r="C540" s="8" t="s">
        <v>2017</v>
      </c>
      <c r="D540" s="8" t="s">
        <v>2018</v>
      </c>
      <c r="E540" s="8" t="s">
        <v>2019</v>
      </c>
      <c r="F540" s="7" t="s">
        <v>22</v>
      </c>
      <c r="G540" s="7" t="s">
        <v>1830</v>
      </c>
      <c r="H540" s="9" t="s">
        <v>1831</v>
      </c>
      <c r="I540" s="8" t="s">
        <v>2020</v>
      </c>
      <c r="J540" s="7" t="n">
        <v>1.72</v>
      </c>
      <c r="K540" s="7"/>
      <c r="L540" s="7" t="s">
        <v>26</v>
      </c>
      <c r="M540" s="8"/>
      <c r="N540" s="7" t="s">
        <v>27</v>
      </c>
      <c r="O540" s="8" t="s">
        <v>2021</v>
      </c>
    </row>
    <row r="541" customFormat="false" ht="60" hidden="false" customHeight="true" outlineLevel="0" collapsed="false">
      <c r="A541" s="4" t="s">
        <v>2022</v>
      </c>
      <c r="B541" s="5" t="s">
        <v>2016</v>
      </c>
      <c r="C541" s="5" t="s">
        <v>2017</v>
      </c>
      <c r="D541" s="5" t="s">
        <v>2023</v>
      </c>
      <c r="E541" s="5" t="s">
        <v>2024</v>
      </c>
      <c r="F541" s="4" t="s">
        <v>22</v>
      </c>
      <c r="G541" s="4" t="s">
        <v>1830</v>
      </c>
      <c r="H541" s="6" t="s">
        <v>1831</v>
      </c>
      <c r="I541" s="5" t="s">
        <v>2025</v>
      </c>
      <c r="J541" s="4" t="n">
        <v>1.38</v>
      </c>
      <c r="K541" s="4"/>
      <c r="L541" s="4" t="s">
        <v>26</v>
      </c>
      <c r="M541" s="5"/>
      <c r="N541" s="4" t="s">
        <v>27</v>
      </c>
      <c r="O541" s="5" t="s">
        <v>2021</v>
      </c>
    </row>
    <row r="542" customFormat="false" ht="60" hidden="false" customHeight="true" outlineLevel="0" collapsed="false">
      <c r="A542" s="7" t="s">
        <v>2026</v>
      </c>
      <c r="B542" s="8" t="s">
        <v>2016</v>
      </c>
      <c r="C542" s="8" t="s">
        <v>2017</v>
      </c>
      <c r="D542" s="8" t="s">
        <v>2027</v>
      </c>
      <c r="E542" s="8" t="s">
        <v>2028</v>
      </c>
      <c r="F542" s="7" t="s">
        <v>36</v>
      </c>
      <c r="G542" s="7" t="s">
        <v>1830</v>
      </c>
      <c r="H542" s="9" t="s">
        <v>1831</v>
      </c>
      <c r="I542" s="8" t="s">
        <v>2029</v>
      </c>
      <c r="J542" s="7" t="n">
        <v>1.49</v>
      </c>
      <c r="K542" s="7"/>
      <c r="L542" s="7" t="s">
        <v>26</v>
      </c>
      <c r="M542" s="8"/>
      <c r="N542" s="7" t="s">
        <v>27</v>
      </c>
      <c r="O542" s="8" t="s">
        <v>2021</v>
      </c>
    </row>
    <row r="543" customFormat="false" ht="60" hidden="false" customHeight="true" outlineLevel="0" collapsed="false">
      <c r="A543" s="4" t="s">
        <v>2030</v>
      </c>
      <c r="B543" s="5" t="s">
        <v>2016</v>
      </c>
      <c r="C543" s="5" t="s">
        <v>2017</v>
      </c>
      <c r="D543" s="5" t="s">
        <v>2031</v>
      </c>
      <c r="E543" s="5" t="s">
        <v>2032</v>
      </c>
      <c r="F543" s="4" t="s">
        <v>36</v>
      </c>
      <c r="G543" s="4" t="s">
        <v>1830</v>
      </c>
      <c r="H543" s="6" t="s">
        <v>1831</v>
      </c>
      <c r="I543" s="5" t="s">
        <v>2033</v>
      </c>
      <c r="J543" s="4" t="n">
        <v>4.01</v>
      </c>
      <c r="K543" s="4"/>
      <c r="L543" s="4" t="s">
        <v>26</v>
      </c>
      <c r="M543" s="5"/>
      <c r="N543" s="4" t="s">
        <v>27</v>
      </c>
      <c r="O543" s="5" t="s">
        <v>2021</v>
      </c>
    </row>
    <row r="544" customFormat="false" ht="60" hidden="false" customHeight="true" outlineLevel="0" collapsed="false">
      <c r="A544" s="7" t="s">
        <v>2034</v>
      </c>
      <c r="B544" s="8" t="s">
        <v>2016</v>
      </c>
      <c r="C544" s="8" t="s">
        <v>2017</v>
      </c>
      <c r="D544" s="8" t="s">
        <v>2035</v>
      </c>
      <c r="E544" s="8" t="s">
        <v>2036</v>
      </c>
      <c r="F544" s="7" t="s">
        <v>36</v>
      </c>
      <c r="G544" s="7" t="s">
        <v>1830</v>
      </c>
      <c r="H544" s="9" t="s">
        <v>1831</v>
      </c>
      <c r="I544" s="8" t="s">
        <v>2037</v>
      </c>
      <c r="J544" s="7" t="n">
        <v>1.72</v>
      </c>
      <c r="K544" s="7"/>
      <c r="L544" s="7" t="s">
        <v>26</v>
      </c>
      <c r="M544" s="8"/>
      <c r="N544" s="7" t="s">
        <v>27</v>
      </c>
      <c r="O544" s="8" t="s">
        <v>2021</v>
      </c>
    </row>
    <row r="545" customFormat="false" ht="60" hidden="false" customHeight="true" outlineLevel="0" collapsed="false">
      <c r="A545" s="4" t="s">
        <v>2038</v>
      </c>
      <c r="B545" s="5" t="s">
        <v>2016</v>
      </c>
      <c r="C545" s="5" t="s">
        <v>2017</v>
      </c>
      <c r="D545" s="5" t="s">
        <v>2039</v>
      </c>
      <c r="E545" s="5" t="s">
        <v>2040</v>
      </c>
      <c r="F545" s="4" t="s">
        <v>67</v>
      </c>
      <c r="G545" s="4" t="s">
        <v>1830</v>
      </c>
      <c r="H545" s="6" t="s">
        <v>1831</v>
      </c>
      <c r="I545" s="5" t="s">
        <v>2041</v>
      </c>
      <c r="J545" s="4" t="n">
        <v>1.15</v>
      </c>
      <c r="K545" s="4"/>
      <c r="L545" s="4" t="s">
        <v>26</v>
      </c>
      <c r="M545" s="5"/>
      <c r="N545" s="4" t="s">
        <v>27</v>
      </c>
      <c r="O545" s="5" t="s">
        <v>2021</v>
      </c>
    </row>
    <row r="546" customFormat="false" ht="60" hidden="false" customHeight="true" outlineLevel="0" collapsed="false">
      <c r="A546" s="7" t="s">
        <v>2042</v>
      </c>
      <c r="B546" s="8" t="s">
        <v>2016</v>
      </c>
      <c r="C546" s="8" t="s">
        <v>2017</v>
      </c>
      <c r="D546" s="8" t="s">
        <v>2043</v>
      </c>
      <c r="E546" s="8" t="s">
        <v>2044</v>
      </c>
      <c r="F546" s="7" t="s">
        <v>53</v>
      </c>
      <c r="G546" s="7" t="s">
        <v>1830</v>
      </c>
      <c r="H546" s="9" t="s">
        <v>1831</v>
      </c>
      <c r="I546" s="8" t="s">
        <v>2045</v>
      </c>
      <c r="J546" s="7" t="n">
        <v>0.58</v>
      </c>
      <c r="K546" s="7"/>
      <c r="L546" s="7" t="s">
        <v>26</v>
      </c>
      <c r="M546" s="8"/>
      <c r="N546" s="7" t="s">
        <v>27</v>
      </c>
      <c r="O546" s="8" t="s">
        <v>2021</v>
      </c>
    </row>
    <row r="547" customFormat="false" ht="60" hidden="false" customHeight="true" outlineLevel="0" collapsed="false">
      <c r="A547" s="4" t="s">
        <v>2046</v>
      </c>
      <c r="B547" s="5" t="s">
        <v>2016</v>
      </c>
      <c r="C547" s="5" t="s">
        <v>2017</v>
      </c>
      <c r="D547" s="5" t="s">
        <v>2047</v>
      </c>
      <c r="E547" s="5" t="s">
        <v>2048</v>
      </c>
      <c r="F547" s="4" t="s">
        <v>58</v>
      </c>
      <c r="G547" s="4" t="s">
        <v>1830</v>
      </c>
      <c r="H547" s="6" t="s">
        <v>1831</v>
      </c>
      <c r="I547" s="5" t="s">
        <v>2049</v>
      </c>
      <c r="J547" s="4" t="n">
        <v>0.45</v>
      </c>
      <c r="K547" s="4"/>
      <c r="L547" s="4" t="s">
        <v>26</v>
      </c>
      <c r="M547" s="5"/>
      <c r="N547" s="4" t="s">
        <v>27</v>
      </c>
      <c r="O547" s="5" t="s">
        <v>2021</v>
      </c>
    </row>
    <row r="548" customFormat="false" ht="60" hidden="false" customHeight="true" outlineLevel="0" collapsed="false">
      <c r="A548" s="7" t="s">
        <v>2050</v>
      </c>
      <c r="B548" s="8" t="s">
        <v>2016</v>
      </c>
      <c r="C548" s="8" t="s">
        <v>2017</v>
      </c>
      <c r="D548" s="8" t="s">
        <v>2051</v>
      </c>
      <c r="E548" s="8" t="s">
        <v>2052</v>
      </c>
      <c r="F548" s="7" t="s">
        <v>67</v>
      </c>
      <c r="G548" s="7" t="s">
        <v>1830</v>
      </c>
      <c r="H548" s="9" t="s">
        <v>1831</v>
      </c>
      <c r="I548" s="8" t="s">
        <v>2053</v>
      </c>
      <c r="J548" s="7" t="n">
        <v>0.26</v>
      </c>
      <c r="K548" s="7"/>
      <c r="L548" s="7" t="s">
        <v>26</v>
      </c>
      <c r="M548" s="8"/>
      <c r="N548" s="7" t="s">
        <v>27</v>
      </c>
      <c r="O548" s="8" t="s">
        <v>2021</v>
      </c>
    </row>
    <row r="549" customFormat="false" ht="60" hidden="false" customHeight="true" outlineLevel="0" collapsed="false">
      <c r="A549" s="4" t="s">
        <v>2054</v>
      </c>
      <c r="B549" s="5" t="s">
        <v>2016</v>
      </c>
      <c r="C549" s="5" t="s">
        <v>2017</v>
      </c>
      <c r="D549" s="5" t="s">
        <v>2055</v>
      </c>
      <c r="E549" s="5" t="s">
        <v>2056</v>
      </c>
      <c r="F549" s="4" t="s">
        <v>76</v>
      </c>
      <c r="G549" s="4" t="s">
        <v>1830</v>
      </c>
      <c r="H549" s="6" t="s">
        <v>1831</v>
      </c>
      <c r="I549" s="5" t="s">
        <v>2057</v>
      </c>
      <c r="J549" s="4" t="n">
        <v>0.76</v>
      </c>
      <c r="K549" s="4"/>
      <c r="L549" s="4" t="s">
        <v>26</v>
      </c>
      <c r="M549" s="5"/>
      <c r="N549" s="4" t="s">
        <v>27</v>
      </c>
      <c r="O549" s="5" t="s">
        <v>2021</v>
      </c>
    </row>
    <row r="550" customFormat="false" ht="60" hidden="false" customHeight="true" outlineLevel="0" collapsed="false">
      <c r="A550" s="7" t="s">
        <v>2058</v>
      </c>
      <c r="B550" s="8" t="s">
        <v>2016</v>
      </c>
      <c r="C550" s="8" t="s">
        <v>2059</v>
      </c>
      <c r="D550" s="8" t="s">
        <v>2018</v>
      </c>
      <c r="E550" s="8" t="s">
        <v>2019</v>
      </c>
      <c r="F550" s="7" t="s">
        <v>22</v>
      </c>
      <c r="G550" s="7" t="s">
        <v>2060</v>
      </c>
      <c r="H550" s="9" t="s">
        <v>2061</v>
      </c>
      <c r="I550" s="8" t="s">
        <v>2062</v>
      </c>
      <c r="J550" s="7" t="n">
        <v>1.03</v>
      </c>
      <c r="K550" s="7"/>
      <c r="L550" s="7" t="s">
        <v>26</v>
      </c>
      <c r="M550" s="8"/>
      <c r="N550" s="7" t="s">
        <v>27</v>
      </c>
      <c r="O550" s="8" t="s">
        <v>2063</v>
      </c>
    </row>
    <row r="551" customFormat="false" ht="60" hidden="false" customHeight="true" outlineLevel="0" collapsed="false">
      <c r="A551" s="4" t="s">
        <v>2064</v>
      </c>
      <c r="B551" s="5" t="s">
        <v>2016</v>
      </c>
      <c r="C551" s="5" t="s">
        <v>2059</v>
      </c>
      <c r="D551" s="5" t="s">
        <v>2023</v>
      </c>
      <c r="E551" s="5" t="s">
        <v>2024</v>
      </c>
      <c r="F551" s="4" t="s">
        <v>22</v>
      </c>
      <c r="G551" s="4" t="s">
        <v>2060</v>
      </c>
      <c r="H551" s="6" t="s">
        <v>2061</v>
      </c>
      <c r="I551" s="5" t="s">
        <v>2065</v>
      </c>
      <c r="J551" s="4" t="n">
        <v>0.83</v>
      </c>
      <c r="K551" s="4"/>
      <c r="L551" s="4" t="s">
        <v>26</v>
      </c>
      <c r="M551" s="5"/>
      <c r="N551" s="4" t="s">
        <v>27</v>
      </c>
      <c r="O551" s="5" t="s">
        <v>2063</v>
      </c>
    </row>
    <row r="552" customFormat="false" ht="60" hidden="false" customHeight="true" outlineLevel="0" collapsed="false">
      <c r="A552" s="7" t="s">
        <v>2066</v>
      </c>
      <c r="B552" s="8" t="s">
        <v>2016</v>
      </c>
      <c r="C552" s="8" t="s">
        <v>2059</v>
      </c>
      <c r="D552" s="8" t="s">
        <v>2027</v>
      </c>
      <c r="E552" s="8" t="s">
        <v>2028</v>
      </c>
      <c r="F552" s="7" t="s">
        <v>36</v>
      </c>
      <c r="G552" s="7" t="s">
        <v>2060</v>
      </c>
      <c r="H552" s="9" t="s">
        <v>2061</v>
      </c>
      <c r="I552" s="8" t="s">
        <v>2067</v>
      </c>
      <c r="J552" s="7" t="n">
        <v>0.89</v>
      </c>
      <c r="K552" s="7"/>
      <c r="L552" s="7" t="s">
        <v>26</v>
      </c>
      <c r="M552" s="8"/>
      <c r="N552" s="7" t="s">
        <v>27</v>
      </c>
      <c r="O552" s="8" t="s">
        <v>2063</v>
      </c>
    </row>
    <row r="553" customFormat="false" ht="60" hidden="false" customHeight="true" outlineLevel="0" collapsed="false">
      <c r="A553" s="4" t="s">
        <v>2068</v>
      </c>
      <c r="B553" s="5" t="s">
        <v>2016</v>
      </c>
      <c r="C553" s="5" t="s">
        <v>2059</v>
      </c>
      <c r="D553" s="5" t="s">
        <v>2031</v>
      </c>
      <c r="E553" s="5" t="s">
        <v>2032</v>
      </c>
      <c r="F553" s="4" t="s">
        <v>36</v>
      </c>
      <c r="G553" s="4" t="s">
        <v>2060</v>
      </c>
      <c r="H553" s="6" t="s">
        <v>2061</v>
      </c>
      <c r="I553" s="5" t="s">
        <v>2069</v>
      </c>
      <c r="J553" s="4" t="n">
        <v>2.41</v>
      </c>
      <c r="K553" s="4"/>
      <c r="L553" s="4" t="s">
        <v>26</v>
      </c>
      <c r="M553" s="5"/>
      <c r="N553" s="4" t="s">
        <v>27</v>
      </c>
      <c r="O553" s="5" t="s">
        <v>2063</v>
      </c>
    </row>
    <row r="554" customFormat="false" ht="60" hidden="false" customHeight="true" outlineLevel="0" collapsed="false">
      <c r="A554" s="7" t="s">
        <v>2070</v>
      </c>
      <c r="B554" s="8" t="s">
        <v>2016</v>
      </c>
      <c r="C554" s="8" t="s">
        <v>2059</v>
      </c>
      <c r="D554" s="8" t="s">
        <v>2035</v>
      </c>
      <c r="E554" s="8" t="s">
        <v>2036</v>
      </c>
      <c r="F554" s="7" t="s">
        <v>36</v>
      </c>
      <c r="G554" s="7" t="s">
        <v>2060</v>
      </c>
      <c r="H554" s="9" t="s">
        <v>2061</v>
      </c>
      <c r="I554" s="8" t="s">
        <v>2071</v>
      </c>
      <c r="J554" s="7" t="n">
        <v>1.03</v>
      </c>
      <c r="K554" s="7"/>
      <c r="L554" s="7" t="s">
        <v>26</v>
      </c>
      <c r="M554" s="8"/>
      <c r="N554" s="7" t="s">
        <v>27</v>
      </c>
      <c r="O554" s="8" t="s">
        <v>2063</v>
      </c>
    </row>
    <row r="555" customFormat="false" ht="60" hidden="false" customHeight="true" outlineLevel="0" collapsed="false">
      <c r="A555" s="4" t="s">
        <v>2072</v>
      </c>
      <c r="B555" s="5" t="s">
        <v>2016</v>
      </c>
      <c r="C555" s="5" t="s">
        <v>2059</v>
      </c>
      <c r="D555" s="5" t="s">
        <v>2039</v>
      </c>
      <c r="E555" s="5" t="s">
        <v>2040</v>
      </c>
      <c r="F555" s="4" t="s">
        <v>67</v>
      </c>
      <c r="G555" s="4" t="s">
        <v>2060</v>
      </c>
      <c r="H555" s="6" t="s">
        <v>2061</v>
      </c>
      <c r="I555" s="5" t="s">
        <v>2073</v>
      </c>
      <c r="J555" s="4" t="n">
        <v>0.69</v>
      </c>
      <c r="K555" s="4"/>
      <c r="L555" s="4" t="s">
        <v>26</v>
      </c>
      <c r="M555" s="5"/>
      <c r="N555" s="4" t="s">
        <v>27</v>
      </c>
      <c r="O555" s="5" t="s">
        <v>2063</v>
      </c>
    </row>
    <row r="556" customFormat="false" ht="60" hidden="false" customHeight="true" outlineLevel="0" collapsed="false">
      <c r="A556" s="7" t="s">
        <v>2074</v>
      </c>
      <c r="B556" s="8" t="s">
        <v>2016</v>
      </c>
      <c r="C556" s="8" t="s">
        <v>2059</v>
      </c>
      <c r="D556" s="8" t="s">
        <v>2043</v>
      </c>
      <c r="E556" s="8" t="s">
        <v>2044</v>
      </c>
      <c r="F556" s="7" t="s">
        <v>53</v>
      </c>
      <c r="G556" s="7" t="s">
        <v>2060</v>
      </c>
      <c r="H556" s="9" t="s">
        <v>2061</v>
      </c>
      <c r="I556" s="8" t="s">
        <v>2075</v>
      </c>
      <c r="J556" s="7" t="n">
        <v>0.35</v>
      </c>
      <c r="K556" s="7"/>
      <c r="L556" s="7" t="s">
        <v>26</v>
      </c>
      <c r="M556" s="8"/>
      <c r="N556" s="7" t="s">
        <v>27</v>
      </c>
      <c r="O556" s="8" t="s">
        <v>2063</v>
      </c>
    </row>
    <row r="557" customFormat="false" ht="60" hidden="false" customHeight="true" outlineLevel="0" collapsed="false">
      <c r="A557" s="4" t="s">
        <v>2076</v>
      </c>
      <c r="B557" s="5" t="s">
        <v>2016</v>
      </c>
      <c r="C557" s="5" t="s">
        <v>2059</v>
      </c>
      <c r="D557" s="5" t="s">
        <v>2047</v>
      </c>
      <c r="E557" s="5" t="s">
        <v>2048</v>
      </c>
      <c r="F557" s="4" t="s">
        <v>58</v>
      </c>
      <c r="G557" s="4" t="s">
        <v>2060</v>
      </c>
      <c r="H557" s="6" t="s">
        <v>2061</v>
      </c>
      <c r="I557" s="5" t="s">
        <v>2077</v>
      </c>
      <c r="J557" s="4" t="n">
        <v>0.27</v>
      </c>
      <c r="K557" s="4"/>
      <c r="L557" s="4" t="s">
        <v>26</v>
      </c>
      <c r="M557" s="5"/>
      <c r="N557" s="4" t="s">
        <v>27</v>
      </c>
      <c r="O557" s="5" t="s">
        <v>2063</v>
      </c>
    </row>
    <row r="558" customFormat="false" ht="60" hidden="false" customHeight="true" outlineLevel="0" collapsed="false">
      <c r="A558" s="7" t="s">
        <v>2078</v>
      </c>
      <c r="B558" s="8" t="s">
        <v>2016</v>
      </c>
      <c r="C558" s="8" t="s">
        <v>2059</v>
      </c>
      <c r="D558" s="8" t="s">
        <v>2051</v>
      </c>
      <c r="E558" s="8" t="s">
        <v>2052</v>
      </c>
      <c r="F558" s="7" t="s">
        <v>67</v>
      </c>
      <c r="G558" s="7" t="s">
        <v>2060</v>
      </c>
      <c r="H558" s="9" t="s">
        <v>2061</v>
      </c>
      <c r="I558" s="8" t="s">
        <v>2079</v>
      </c>
      <c r="J558" s="7" t="n">
        <v>0.16</v>
      </c>
      <c r="K558" s="7"/>
      <c r="L558" s="7" t="s">
        <v>26</v>
      </c>
      <c r="M558" s="8"/>
      <c r="N558" s="7" t="s">
        <v>27</v>
      </c>
      <c r="O558" s="8" t="s">
        <v>2063</v>
      </c>
    </row>
    <row r="559" customFormat="false" ht="60" hidden="false" customHeight="true" outlineLevel="0" collapsed="false">
      <c r="A559" s="4" t="s">
        <v>2080</v>
      </c>
      <c r="B559" s="5" t="s">
        <v>2016</v>
      </c>
      <c r="C559" s="5" t="s">
        <v>2059</v>
      </c>
      <c r="D559" s="5" t="s">
        <v>2055</v>
      </c>
      <c r="E559" s="5" t="s">
        <v>2056</v>
      </c>
      <c r="F559" s="4" t="s">
        <v>76</v>
      </c>
      <c r="G559" s="4" t="s">
        <v>2060</v>
      </c>
      <c r="H559" s="6" t="s">
        <v>2061</v>
      </c>
      <c r="I559" s="5" t="s">
        <v>2081</v>
      </c>
      <c r="J559" s="4" t="n">
        <v>0.45</v>
      </c>
      <c r="K559" s="4"/>
      <c r="L559" s="4" t="s">
        <v>26</v>
      </c>
      <c r="M559" s="5"/>
      <c r="N559" s="4" t="s">
        <v>27</v>
      </c>
      <c r="O559" s="5" t="s">
        <v>2063</v>
      </c>
    </row>
    <row r="560" customFormat="false" ht="60" hidden="false" customHeight="true" outlineLevel="0" collapsed="false">
      <c r="A560" s="7" t="s">
        <v>2082</v>
      </c>
      <c r="B560" s="8" t="s">
        <v>2016</v>
      </c>
      <c r="C560" s="8" t="s">
        <v>2083</v>
      </c>
      <c r="D560" s="8" t="s">
        <v>2084</v>
      </c>
      <c r="E560" s="8" t="s">
        <v>2085</v>
      </c>
      <c r="F560" s="7" t="s">
        <v>22</v>
      </c>
      <c r="G560" s="7" t="s">
        <v>2060</v>
      </c>
      <c r="H560" s="9" t="s">
        <v>2061</v>
      </c>
      <c r="I560" s="8" t="s">
        <v>2086</v>
      </c>
      <c r="J560" s="7" t="n">
        <v>1.72</v>
      </c>
      <c r="K560" s="7"/>
      <c r="L560" s="7" t="s">
        <v>26</v>
      </c>
      <c r="M560" s="8"/>
      <c r="N560" s="7" t="s">
        <v>27</v>
      </c>
      <c r="O560" s="8" t="s">
        <v>2087</v>
      </c>
    </row>
    <row r="561" customFormat="false" ht="60" hidden="false" customHeight="true" outlineLevel="0" collapsed="false">
      <c r="A561" s="4" t="s">
        <v>2088</v>
      </c>
      <c r="B561" s="5" t="s">
        <v>2016</v>
      </c>
      <c r="C561" s="5" t="s">
        <v>2083</v>
      </c>
      <c r="D561" s="5" t="s">
        <v>2089</v>
      </c>
      <c r="E561" s="5" t="s">
        <v>2090</v>
      </c>
      <c r="F561" s="4" t="s">
        <v>22</v>
      </c>
      <c r="G561" s="4" t="s">
        <v>2060</v>
      </c>
      <c r="H561" s="6" t="s">
        <v>2061</v>
      </c>
      <c r="I561" s="5" t="s">
        <v>2091</v>
      </c>
      <c r="J561" s="4" t="n">
        <v>1.38</v>
      </c>
      <c r="K561" s="4"/>
      <c r="L561" s="4" t="s">
        <v>26</v>
      </c>
      <c r="M561" s="5"/>
      <c r="N561" s="4" t="s">
        <v>27</v>
      </c>
      <c r="O561" s="5" t="s">
        <v>2087</v>
      </c>
    </row>
    <row r="562" customFormat="false" ht="60" hidden="false" customHeight="true" outlineLevel="0" collapsed="false">
      <c r="A562" s="7" t="s">
        <v>2092</v>
      </c>
      <c r="B562" s="8" t="s">
        <v>2016</v>
      </c>
      <c r="C562" s="8" t="s">
        <v>2083</v>
      </c>
      <c r="D562" s="8" t="s">
        <v>2093</v>
      </c>
      <c r="E562" s="8" t="s">
        <v>2094</v>
      </c>
      <c r="F562" s="7" t="s">
        <v>36</v>
      </c>
      <c r="G562" s="7" t="s">
        <v>2060</v>
      </c>
      <c r="H562" s="9" t="s">
        <v>2061</v>
      </c>
      <c r="I562" s="8" t="s">
        <v>2095</v>
      </c>
      <c r="J562" s="7" t="n">
        <v>1.49</v>
      </c>
      <c r="K562" s="7"/>
      <c r="L562" s="7" t="s">
        <v>26</v>
      </c>
      <c r="M562" s="8"/>
      <c r="N562" s="7" t="s">
        <v>27</v>
      </c>
      <c r="O562" s="8" t="s">
        <v>2087</v>
      </c>
    </row>
    <row r="563" customFormat="false" ht="60" hidden="false" customHeight="true" outlineLevel="0" collapsed="false">
      <c r="A563" s="4" t="s">
        <v>2096</v>
      </c>
      <c r="B563" s="5" t="s">
        <v>2016</v>
      </c>
      <c r="C563" s="5" t="s">
        <v>2083</v>
      </c>
      <c r="D563" s="5" t="s">
        <v>2031</v>
      </c>
      <c r="E563" s="5" t="s">
        <v>2032</v>
      </c>
      <c r="F563" s="4" t="s">
        <v>36</v>
      </c>
      <c r="G563" s="4" t="s">
        <v>2060</v>
      </c>
      <c r="H563" s="6" t="s">
        <v>2061</v>
      </c>
      <c r="I563" s="5" t="s">
        <v>2097</v>
      </c>
      <c r="J563" s="4" t="n">
        <v>4.01</v>
      </c>
      <c r="K563" s="4"/>
      <c r="L563" s="4" t="s">
        <v>26</v>
      </c>
      <c r="M563" s="5"/>
      <c r="N563" s="4" t="s">
        <v>27</v>
      </c>
      <c r="O563" s="5" t="s">
        <v>2087</v>
      </c>
    </row>
    <row r="564" customFormat="false" ht="60" hidden="false" customHeight="true" outlineLevel="0" collapsed="false">
      <c r="A564" s="7" t="s">
        <v>2098</v>
      </c>
      <c r="B564" s="8" t="s">
        <v>2016</v>
      </c>
      <c r="C564" s="8" t="s">
        <v>2083</v>
      </c>
      <c r="D564" s="8" t="s">
        <v>2035</v>
      </c>
      <c r="E564" s="8" t="s">
        <v>2099</v>
      </c>
      <c r="F564" s="7" t="s">
        <v>36</v>
      </c>
      <c r="G564" s="7" t="s">
        <v>2060</v>
      </c>
      <c r="H564" s="9" t="s">
        <v>2061</v>
      </c>
      <c r="I564" s="8" t="s">
        <v>2100</v>
      </c>
      <c r="J564" s="7" t="n">
        <v>1.72</v>
      </c>
      <c r="K564" s="7"/>
      <c r="L564" s="7" t="s">
        <v>26</v>
      </c>
      <c r="M564" s="8"/>
      <c r="N564" s="7" t="s">
        <v>27</v>
      </c>
      <c r="O564" s="8" t="s">
        <v>2087</v>
      </c>
    </row>
    <row r="565" customFormat="false" ht="60" hidden="false" customHeight="true" outlineLevel="0" collapsed="false">
      <c r="A565" s="4" t="s">
        <v>2101</v>
      </c>
      <c r="B565" s="5" t="s">
        <v>2016</v>
      </c>
      <c r="C565" s="5" t="s">
        <v>2083</v>
      </c>
      <c r="D565" s="5" t="s">
        <v>2039</v>
      </c>
      <c r="E565" s="5" t="s">
        <v>2102</v>
      </c>
      <c r="F565" s="4" t="s">
        <v>67</v>
      </c>
      <c r="G565" s="4" t="s">
        <v>2060</v>
      </c>
      <c r="H565" s="6" t="s">
        <v>2061</v>
      </c>
      <c r="I565" s="5" t="s">
        <v>2103</v>
      </c>
      <c r="J565" s="4" t="n">
        <v>1.15</v>
      </c>
      <c r="K565" s="4"/>
      <c r="L565" s="4" t="s">
        <v>26</v>
      </c>
      <c r="M565" s="5"/>
      <c r="N565" s="4" t="s">
        <v>27</v>
      </c>
      <c r="O565" s="5" t="s">
        <v>2087</v>
      </c>
    </row>
    <row r="566" customFormat="false" ht="60" hidden="false" customHeight="true" outlineLevel="0" collapsed="false">
      <c r="A566" s="7" t="s">
        <v>2104</v>
      </c>
      <c r="B566" s="8" t="s">
        <v>2016</v>
      </c>
      <c r="C566" s="8" t="s">
        <v>2083</v>
      </c>
      <c r="D566" s="8" t="s">
        <v>2043</v>
      </c>
      <c r="E566" s="8" t="s">
        <v>2044</v>
      </c>
      <c r="F566" s="7" t="s">
        <v>53</v>
      </c>
      <c r="G566" s="7" t="s">
        <v>2060</v>
      </c>
      <c r="H566" s="9" t="s">
        <v>2061</v>
      </c>
      <c r="I566" s="8" t="s">
        <v>2105</v>
      </c>
      <c r="J566" s="7" t="n">
        <v>0.58</v>
      </c>
      <c r="K566" s="7"/>
      <c r="L566" s="7" t="s">
        <v>26</v>
      </c>
      <c r="M566" s="8"/>
      <c r="N566" s="7" t="s">
        <v>27</v>
      </c>
      <c r="O566" s="8" t="s">
        <v>2087</v>
      </c>
    </row>
    <row r="567" customFormat="false" ht="60" hidden="false" customHeight="true" outlineLevel="0" collapsed="false">
      <c r="A567" s="4" t="s">
        <v>2106</v>
      </c>
      <c r="B567" s="5" t="s">
        <v>2016</v>
      </c>
      <c r="C567" s="5" t="s">
        <v>2083</v>
      </c>
      <c r="D567" s="5" t="s">
        <v>2047</v>
      </c>
      <c r="E567" s="5" t="s">
        <v>2107</v>
      </c>
      <c r="F567" s="4" t="s">
        <v>58</v>
      </c>
      <c r="G567" s="4" t="s">
        <v>2060</v>
      </c>
      <c r="H567" s="6" t="s">
        <v>2061</v>
      </c>
      <c r="I567" s="5" t="s">
        <v>2108</v>
      </c>
      <c r="J567" s="4" t="n">
        <v>0.45</v>
      </c>
      <c r="K567" s="4"/>
      <c r="L567" s="4" t="s">
        <v>26</v>
      </c>
      <c r="M567" s="5"/>
      <c r="N567" s="4" t="s">
        <v>27</v>
      </c>
      <c r="O567" s="5" t="s">
        <v>2087</v>
      </c>
    </row>
    <row r="568" customFormat="false" ht="60" hidden="false" customHeight="true" outlineLevel="0" collapsed="false">
      <c r="A568" s="7" t="s">
        <v>2109</v>
      </c>
      <c r="B568" s="8" t="s">
        <v>2016</v>
      </c>
      <c r="C568" s="8" t="s">
        <v>2083</v>
      </c>
      <c r="D568" s="8" t="s">
        <v>2051</v>
      </c>
      <c r="E568" s="8" t="s">
        <v>2052</v>
      </c>
      <c r="F568" s="7" t="s">
        <v>67</v>
      </c>
      <c r="G568" s="7" t="s">
        <v>2060</v>
      </c>
      <c r="H568" s="9" t="s">
        <v>2061</v>
      </c>
      <c r="I568" s="8" t="s">
        <v>2110</v>
      </c>
      <c r="J568" s="7" t="n">
        <v>0.26</v>
      </c>
      <c r="K568" s="7"/>
      <c r="L568" s="7" t="s">
        <v>26</v>
      </c>
      <c r="M568" s="8"/>
      <c r="N568" s="7" t="s">
        <v>27</v>
      </c>
      <c r="O568" s="8" t="s">
        <v>2087</v>
      </c>
    </row>
    <row r="569" customFormat="false" ht="60" hidden="false" customHeight="true" outlineLevel="0" collapsed="false">
      <c r="A569" s="4" t="s">
        <v>2111</v>
      </c>
      <c r="B569" s="5" t="s">
        <v>2016</v>
      </c>
      <c r="C569" s="5" t="s">
        <v>2083</v>
      </c>
      <c r="D569" s="5" t="s">
        <v>2055</v>
      </c>
      <c r="E569" s="5" t="s">
        <v>2056</v>
      </c>
      <c r="F569" s="4" t="s">
        <v>76</v>
      </c>
      <c r="G569" s="4" t="s">
        <v>2060</v>
      </c>
      <c r="H569" s="6" t="s">
        <v>2061</v>
      </c>
      <c r="I569" s="5" t="s">
        <v>2112</v>
      </c>
      <c r="J569" s="4" t="n">
        <v>0.76</v>
      </c>
      <c r="K569" s="4"/>
      <c r="L569" s="4" t="s">
        <v>26</v>
      </c>
      <c r="M569" s="5"/>
      <c r="N569" s="4" t="s">
        <v>27</v>
      </c>
      <c r="O569" s="5" t="s">
        <v>2087</v>
      </c>
    </row>
    <row r="570" customFormat="false" ht="60" hidden="false" customHeight="true" outlineLevel="0" collapsed="false">
      <c r="A570" s="7" t="s">
        <v>2113</v>
      </c>
      <c r="B570" s="8" t="s">
        <v>2016</v>
      </c>
      <c r="C570" s="8" t="s">
        <v>2114</v>
      </c>
      <c r="D570" s="8" t="s">
        <v>2084</v>
      </c>
      <c r="E570" s="8" t="s">
        <v>2085</v>
      </c>
      <c r="F570" s="7" t="s">
        <v>22</v>
      </c>
      <c r="G570" s="7" t="s">
        <v>2060</v>
      </c>
      <c r="H570" s="9" t="s">
        <v>2061</v>
      </c>
      <c r="I570" s="8" t="s">
        <v>2115</v>
      </c>
      <c r="J570" s="7" t="n">
        <v>1.03</v>
      </c>
      <c r="K570" s="7"/>
      <c r="L570" s="7" t="s">
        <v>253</v>
      </c>
      <c r="M570" s="8"/>
      <c r="N570" s="7" t="s">
        <v>27</v>
      </c>
      <c r="O570" s="8" t="s">
        <v>2116</v>
      </c>
    </row>
    <row r="571" customFormat="false" ht="60" hidden="false" customHeight="true" outlineLevel="0" collapsed="false">
      <c r="A571" s="4" t="s">
        <v>2117</v>
      </c>
      <c r="B571" s="5" t="s">
        <v>2016</v>
      </c>
      <c r="C571" s="5" t="s">
        <v>2114</v>
      </c>
      <c r="D571" s="5" t="s">
        <v>2089</v>
      </c>
      <c r="E571" s="5" t="s">
        <v>2090</v>
      </c>
      <c r="F571" s="4" t="s">
        <v>22</v>
      </c>
      <c r="G571" s="4" t="s">
        <v>2060</v>
      </c>
      <c r="H571" s="6" t="s">
        <v>2061</v>
      </c>
      <c r="I571" s="5" t="s">
        <v>2118</v>
      </c>
      <c r="J571" s="4" t="n">
        <v>0.83</v>
      </c>
      <c r="K571" s="4"/>
      <c r="L571" s="4" t="s">
        <v>253</v>
      </c>
      <c r="M571" s="5"/>
      <c r="N571" s="4" t="s">
        <v>27</v>
      </c>
      <c r="O571" s="5" t="s">
        <v>2116</v>
      </c>
    </row>
    <row r="572" customFormat="false" ht="60" hidden="false" customHeight="true" outlineLevel="0" collapsed="false">
      <c r="A572" s="7" t="s">
        <v>2119</v>
      </c>
      <c r="B572" s="8" t="s">
        <v>2016</v>
      </c>
      <c r="C572" s="8" t="s">
        <v>2114</v>
      </c>
      <c r="D572" s="8" t="s">
        <v>2093</v>
      </c>
      <c r="E572" s="8" t="s">
        <v>2094</v>
      </c>
      <c r="F572" s="7" t="s">
        <v>36</v>
      </c>
      <c r="G572" s="7" t="s">
        <v>2060</v>
      </c>
      <c r="H572" s="9" t="s">
        <v>2061</v>
      </c>
      <c r="I572" s="8" t="s">
        <v>2120</v>
      </c>
      <c r="J572" s="7" t="n">
        <v>0.89</v>
      </c>
      <c r="K572" s="7"/>
      <c r="L572" s="7" t="s">
        <v>253</v>
      </c>
      <c r="M572" s="8"/>
      <c r="N572" s="7" t="s">
        <v>27</v>
      </c>
      <c r="O572" s="8" t="s">
        <v>2116</v>
      </c>
    </row>
    <row r="573" customFormat="false" ht="60" hidden="false" customHeight="true" outlineLevel="0" collapsed="false">
      <c r="A573" s="4" t="s">
        <v>2121</v>
      </c>
      <c r="B573" s="5" t="s">
        <v>2016</v>
      </c>
      <c r="C573" s="5" t="s">
        <v>2114</v>
      </c>
      <c r="D573" s="5" t="s">
        <v>2031</v>
      </c>
      <c r="E573" s="5" t="s">
        <v>2032</v>
      </c>
      <c r="F573" s="4" t="s">
        <v>36</v>
      </c>
      <c r="G573" s="4" t="s">
        <v>2060</v>
      </c>
      <c r="H573" s="6" t="s">
        <v>2061</v>
      </c>
      <c r="I573" s="5" t="s">
        <v>2122</v>
      </c>
      <c r="J573" s="4" t="n">
        <v>2.41</v>
      </c>
      <c r="K573" s="4"/>
      <c r="L573" s="4" t="s">
        <v>253</v>
      </c>
      <c r="M573" s="5"/>
      <c r="N573" s="4" t="s">
        <v>27</v>
      </c>
      <c r="O573" s="5" t="s">
        <v>2116</v>
      </c>
    </row>
    <row r="574" customFormat="false" ht="60" hidden="false" customHeight="true" outlineLevel="0" collapsed="false">
      <c r="A574" s="7" t="s">
        <v>2123</v>
      </c>
      <c r="B574" s="8" t="s">
        <v>2016</v>
      </c>
      <c r="C574" s="8" t="s">
        <v>2114</v>
      </c>
      <c r="D574" s="8" t="s">
        <v>2035</v>
      </c>
      <c r="E574" s="8" t="s">
        <v>2099</v>
      </c>
      <c r="F574" s="7" t="s">
        <v>36</v>
      </c>
      <c r="G574" s="7" t="s">
        <v>2060</v>
      </c>
      <c r="H574" s="9" t="s">
        <v>2061</v>
      </c>
      <c r="I574" s="8" t="s">
        <v>2124</v>
      </c>
      <c r="J574" s="7" t="n">
        <v>1.03</v>
      </c>
      <c r="K574" s="7"/>
      <c r="L574" s="7" t="s">
        <v>253</v>
      </c>
      <c r="M574" s="8"/>
      <c r="N574" s="7" t="s">
        <v>27</v>
      </c>
      <c r="O574" s="8" t="s">
        <v>2116</v>
      </c>
    </row>
    <row r="575" customFormat="false" ht="60" hidden="false" customHeight="true" outlineLevel="0" collapsed="false">
      <c r="A575" s="4" t="s">
        <v>2125</v>
      </c>
      <c r="B575" s="5" t="s">
        <v>2016</v>
      </c>
      <c r="C575" s="5" t="s">
        <v>2114</v>
      </c>
      <c r="D575" s="5" t="s">
        <v>2039</v>
      </c>
      <c r="E575" s="5" t="s">
        <v>2102</v>
      </c>
      <c r="F575" s="4" t="s">
        <v>67</v>
      </c>
      <c r="G575" s="4" t="s">
        <v>2060</v>
      </c>
      <c r="H575" s="6" t="s">
        <v>2061</v>
      </c>
      <c r="I575" s="5" t="s">
        <v>2126</v>
      </c>
      <c r="J575" s="4" t="n">
        <v>0.69</v>
      </c>
      <c r="K575" s="4"/>
      <c r="L575" s="4" t="s">
        <v>253</v>
      </c>
      <c r="M575" s="5"/>
      <c r="N575" s="4" t="s">
        <v>27</v>
      </c>
      <c r="O575" s="5" t="s">
        <v>2116</v>
      </c>
    </row>
    <row r="576" customFormat="false" ht="60" hidden="false" customHeight="true" outlineLevel="0" collapsed="false">
      <c r="A576" s="7" t="s">
        <v>2127</v>
      </c>
      <c r="B576" s="8" t="s">
        <v>2016</v>
      </c>
      <c r="C576" s="8" t="s">
        <v>2114</v>
      </c>
      <c r="D576" s="8" t="s">
        <v>2043</v>
      </c>
      <c r="E576" s="8" t="s">
        <v>2044</v>
      </c>
      <c r="F576" s="7" t="s">
        <v>53</v>
      </c>
      <c r="G576" s="7" t="s">
        <v>2060</v>
      </c>
      <c r="H576" s="9" t="s">
        <v>2061</v>
      </c>
      <c r="I576" s="8" t="s">
        <v>2128</v>
      </c>
      <c r="J576" s="7" t="n">
        <v>0.35</v>
      </c>
      <c r="K576" s="7"/>
      <c r="L576" s="7" t="s">
        <v>253</v>
      </c>
      <c r="M576" s="8"/>
      <c r="N576" s="7" t="s">
        <v>27</v>
      </c>
      <c r="O576" s="8" t="s">
        <v>2116</v>
      </c>
    </row>
    <row r="577" customFormat="false" ht="60" hidden="false" customHeight="true" outlineLevel="0" collapsed="false">
      <c r="A577" s="4" t="s">
        <v>2129</v>
      </c>
      <c r="B577" s="5" t="s">
        <v>2016</v>
      </c>
      <c r="C577" s="5" t="s">
        <v>2114</v>
      </c>
      <c r="D577" s="5" t="s">
        <v>2047</v>
      </c>
      <c r="E577" s="5" t="s">
        <v>2107</v>
      </c>
      <c r="F577" s="4" t="s">
        <v>58</v>
      </c>
      <c r="G577" s="4" t="s">
        <v>2060</v>
      </c>
      <c r="H577" s="6" t="s">
        <v>2061</v>
      </c>
      <c r="I577" s="5" t="s">
        <v>2130</v>
      </c>
      <c r="J577" s="4" t="n">
        <v>0.27</v>
      </c>
      <c r="K577" s="4"/>
      <c r="L577" s="4" t="s">
        <v>253</v>
      </c>
      <c r="M577" s="5"/>
      <c r="N577" s="4" t="s">
        <v>27</v>
      </c>
      <c r="O577" s="5" t="s">
        <v>2116</v>
      </c>
    </row>
    <row r="578" customFormat="false" ht="60" hidden="false" customHeight="true" outlineLevel="0" collapsed="false">
      <c r="A578" s="7" t="s">
        <v>2131</v>
      </c>
      <c r="B578" s="8" t="s">
        <v>2016</v>
      </c>
      <c r="C578" s="8" t="s">
        <v>2114</v>
      </c>
      <c r="D578" s="8" t="s">
        <v>2051</v>
      </c>
      <c r="E578" s="8" t="s">
        <v>2052</v>
      </c>
      <c r="F578" s="7" t="s">
        <v>67</v>
      </c>
      <c r="G578" s="7" t="s">
        <v>2060</v>
      </c>
      <c r="H578" s="9" t="s">
        <v>2061</v>
      </c>
      <c r="I578" s="8" t="s">
        <v>2132</v>
      </c>
      <c r="J578" s="7" t="n">
        <v>0.16</v>
      </c>
      <c r="K578" s="7"/>
      <c r="L578" s="7" t="s">
        <v>253</v>
      </c>
      <c r="M578" s="8"/>
      <c r="N578" s="7" t="s">
        <v>27</v>
      </c>
      <c r="O578" s="8" t="s">
        <v>2116</v>
      </c>
    </row>
    <row r="579" customFormat="false" ht="60" hidden="false" customHeight="true" outlineLevel="0" collapsed="false">
      <c r="A579" s="4" t="s">
        <v>2133</v>
      </c>
      <c r="B579" s="5" t="s">
        <v>2016</v>
      </c>
      <c r="C579" s="5" t="s">
        <v>2114</v>
      </c>
      <c r="D579" s="5" t="s">
        <v>2055</v>
      </c>
      <c r="E579" s="5" t="s">
        <v>2056</v>
      </c>
      <c r="F579" s="4" t="s">
        <v>76</v>
      </c>
      <c r="G579" s="4" t="s">
        <v>2060</v>
      </c>
      <c r="H579" s="6" t="s">
        <v>2061</v>
      </c>
      <c r="I579" s="5" t="s">
        <v>2134</v>
      </c>
      <c r="J579" s="4" t="n">
        <v>0.45</v>
      </c>
      <c r="K579" s="4"/>
      <c r="L579" s="4" t="s">
        <v>253</v>
      </c>
      <c r="M579" s="5"/>
      <c r="N579" s="4" t="s">
        <v>27</v>
      </c>
      <c r="O579" s="5" t="s">
        <v>2116</v>
      </c>
    </row>
    <row r="580" customFormat="false" ht="60" hidden="false" customHeight="true" outlineLevel="0" collapsed="false">
      <c r="A580" s="7" t="s">
        <v>2135</v>
      </c>
      <c r="B580" s="8" t="s">
        <v>2016</v>
      </c>
      <c r="C580" s="8" t="s">
        <v>2136</v>
      </c>
      <c r="D580" s="8" t="s">
        <v>2137</v>
      </c>
      <c r="E580" s="8" t="s">
        <v>2138</v>
      </c>
      <c r="F580" s="7" t="s">
        <v>22</v>
      </c>
      <c r="G580" s="7" t="s">
        <v>2060</v>
      </c>
      <c r="H580" s="9" t="s">
        <v>2061</v>
      </c>
      <c r="I580" s="8" t="s">
        <v>2139</v>
      </c>
      <c r="J580" s="7" t="n">
        <v>0.34</v>
      </c>
      <c r="K580" s="7"/>
      <c r="L580" s="7" t="s">
        <v>1357</v>
      </c>
      <c r="M580" s="8"/>
      <c r="N580" s="7" t="s">
        <v>27</v>
      </c>
      <c r="O580" s="8" t="s">
        <v>2140</v>
      </c>
    </row>
    <row r="581" customFormat="false" ht="60" hidden="false" customHeight="true" outlineLevel="0" collapsed="false">
      <c r="A581" s="4" t="s">
        <v>2141</v>
      </c>
      <c r="B581" s="5" t="s">
        <v>2016</v>
      </c>
      <c r="C581" s="5" t="s">
        <v>2136</v>
      </c>
      <c r="D581" s="5" t="s">
        <v>2142</v>
      </c>
      <c r="E581" s="5" t="s">
        <v>2143</v>
      </c>
      <c r="F581" s="4" t="s">
        <v>22</v>
      </c>
      <c r="G581" s="4" t="s">
        <v>2060</v>
      </c>
      <c r="H581" s="6" t="s">
        <v>2061</v>
      </c>
      <c r="I581" s="5" t="s">
        <v>2144</v>
      </c>
      <c r="J581" s="4" t="n">
        <v>0.27</v>
      </c>
      <c r="K581" s="4"/>
      <c r="L581" s="4" t="s">
        <v>1357</v>
      </c>
      <c r="M581" s="5"/>
      <c r="N581" s="4" t="s">
        <v>27</v>
      </c>
      <c r="O581" s="5" t="s">
        <v>2140</v>
      </c>
    </row>
    <row r="582" customFormat="false" ht="60" hidden="false" customHeight="true" outlineLevel="0" collapsed="false">
      <c r="A582" s="7" t="s">
        <v>2145</v>
      </c>
      <c r="B582" s="8" t="s">
        <v>2016</v>
      </c>
      <c r="C582" s="8" t="s">
        <v>2136</v>
      </c>
      <c r="D582" s="8" t="s">
        <v>2146</v>
      </c>
      <c r="E582" s="8" t="s">
        <v>2147</v>
      </c>
      <c r="F582" s="7" t="s">
        <v>36</v>
      </c>
      <c r="G582" s="7" t="s">
        <v>2060</v>
      </c>
      <c r="H582" s="9" t="s">
        <v>2061</v>
      </c>
      <c r="I582" s="8" t="s">
        <v>2148</v>
      </c>
      <c r="J582" s="7" t="n">
        <v>0.29</v>
      </c>
      <c r="K582" s="7"/>
      <c r="L582" s="7" t="s">
        <v>1357</v>
      </c>
      <c r="M582" s="8"/>
      <c r="N582" s="7" t="s">
        <v>27</v>
      </c>
      <c r="O582" s="8" t="s">
        <v>2140</v>
      </c>
    </row>
    <row r="583" customFormat="false" ht="60" hidden="false" customHeight="true" outlineLevel="0" collapsed="false">
      <c r="A583" s="4" t="s">
        <v>2149</v>
      </c>
      <c r="B583" s="5" t="s">
        <v>2016</v>
      </c>
      <c r="C583" s="5" t="s">
        <v>2136</v>
      </c>
      <c r="D583" s="5" t="s">
        <v>2150</v>
      </c>
      <c r="E583" s="5" t="s">
        <v>2151</v>
      </c>
      <c r="F583" s="4" t="s">
        <v>36</v>
      </c>
      <c r="G583" s="4" t="s">
        <v>2060</v>
      </c>
      <c r="H583" s="6" t="s">
        <v>2061</v>
      </c>
      <c r="I583" s="5" t="s">
        <v>2152</v>
      </c>
      <c r="J583" s="4" t="n">
        <v>0.78</v>
      </c>
      <c r="K583" s="4"/>
      <c r="L583" s="4" t="s">
        <v>1357</v>
      </c>
      <c r="M583" s="5"/>
      <c r="N583" s="4" t="s">
        <v>27</v>
      </c>
      <c r="O583" s="5" t="s">
        <v>2140</v>
      </c>
    </row>
    <row r="584" customFormat="false" ht="60" hidden="false" customHeight="true" outlineLevel="0" collapsed="false">
      <c r="A584" s="7" t="s">
        <v>2153</v>
      </c>
      <c r="B584" s="8" t="s">
        <v>2016</v>
      </c>
      <c r="C584" s="8" t="s">
        <v>2136</v>
      </c>
      <c r="D584" s="8" t="s">
        <v>2154</v>
      </c>
      <c r="E584" s="8" t="s">
        <v>2155</v>
      </c>
      <c r="F584" s="7" t="s">
        <v>36</v>
      </c>
      <c r="G584" s="7" t="s">
        <v>2060</v>
      </c>
      <c r="H584" s="9" t="s">
        <v>2061</v>
      </c>
      <c r="I584" s="8" t="s">
        <v>2156</v>
      </c>
      <c r="J584" s="7" t="n">
        <v>0.34</v>
      </c>
      <c r="K584" s="7"/>
      <c r="L584" s="7" t="s">
        <v>1357</v>
      </c>
      <c r="M584" s="8"/>
      <c r="N584" s="7" t="s">
        <v>27</v>
      </c>
      <c r="O584" s="8" t="s">
        <v>2140</v>
      </c>
    </row>
    <row r="585" customFormat="false" ht="60" hidden="false" customHeight="true" outlineLevel="0" collapsed="false">
      <c r="A585" s="4" t="s">
        <v>2157</v>
      </c>
      <c r="B585" s="5" t="s">
        <v>2016</v>
      </c>
      <c r="C585" s="5" t="s">
        <v>2136</v>
      </c>
      <c r="D585" s="5" t="s">
        <v>2158</v>
      </c>
      <c r="E585" s="5" t="s">
        <v>2159</v>
      </c>
      <c r="F585" s="4" t="s">
        <v>67</v>
      </c>
      <c r="G585" s="4" t="s">
        <v>2060</v>
      </c>
      <c r="H585" s="6" t="s">
        <v>2061</v>
      </c>
      <c r="I585" s="5" t="s">
        <v>2160</v>
      </c>
      <c r="J585" s="4" t="n">
        <v>0.22</v>
      </c>
      <c r="K585" s="4"/>
      <c r="L585" s="4" t="s">
        <v>1357</v>
      </c>
      <c r="M585" s="5"/>
      <c r="N585" s="4" t="s">
        <v>27</v>
      </c>
      <c r="O585" s="5" t="s">
        <v>2140</v>
      </c>
    </row>
    <row r="586" customFormat="false" ht="60" hidden="false" customHeight="true" outlineLevel="0" collapsed="false">
      <c r="A586" s="7" t="s">
        <v>2161</v>
      </c>
      <c r="B586" s="8" t="s">
        <v>2016</v>
      </c>
      <c r="C586" s="8" t="s">
        <v>2136</v>
      </c>
      <c r="D586" s="8" t="s">
        <v>2162</v>
      </c>
      <c r="E586" s="8" t="s">
        <v>2163</v>
      </c>
      <c r="F586" s="7" t="s">
        <v>53</v>
      </c>
      <c r="G586" s="7" t="s">
        <v>2060</v>
      </c>
      <c r="H586" s="9" t="s">
        <v>2061</v>
      </c>
      <c r="I586" s="8" t="s">
        <v>2164</v>
      </c>
      <c r="J586" s="7" t="n">
        <v>1.24</v>
      </c>
      <c r="K586" s="7"/>
      <c r="L586" s="7" t="s">
        <v>1357</v>
      </c>
      <c r="M586" s="8"/>
      <c r="N586" s="7" t="s">
        <v>27</v>
      </c>
      <c r="O586" s="8" t="s">
        <v>2140</v>
      </c>
    </row>
    <row r="587" customFormat="false" ht="60" hidden="false" customHeight="true" outlineLevel="0" collapsed="false">
      <c r="A587" s="4" t="s">
        <v>2165</v>
      </c>
      <c r="B587" s="5" t="s">
        <v>2016</v>
      </c>
      <c r="C587" s="5" t="s">
        <v>2136</v>
      </c>
      <c r="D587" s="5" t="s">
        <v>2166</v>
      </c>
      <c r="E587" s="5" t="s">
        <v>2167</v>
      </c>
      <c r="F587" s="4" t="s">
        <v>58</v>
      </c>
      <c r="G587" s="4" t="s">
        <v>2060</v>
      </c>
      <c r="H587" s="6" t="s">
        <v>2061</v>
      </c>
      <c r="I587" s="5" t="s">
        <v>2168</v>
      </c>
      <c r="J587" s="4" t="n">
        <v>0.96</v>
      </c>
      <c r="K587" s="4"/>
      <c r="L587" s="4" t="s">
        <v>1357</v>
      </c>
      <c r="M587" s="5"/>
      <c r="N587" s="4" t="s">
        <v>27</v>
      </c>
      <c r="O587" s="5" t="s">
        <v>2140</v>
      </c>
    </row>
    <row r="588" customFormat="false" ht="60" hidden="false" customHeight="true" outlineLevel="0" collapsed="false">
      <c r="A588" s="7" t="s">
        <v>2169</v>
      </c>
      <c r="B588" s="8" t="s">
        <v>2016</v>
      </c>
      <c r="C588" s="8" t="s">
        <v>2136</v>
      </c>
      <c r="D588" s="8" t="s">
        <v>2170</v>
      </c>
      <c r="E588" s="8" t="s">
        <v>2171</v>
      </c>
      <c r="F588" s="7" t="s">
        <v>67</v>
      </c>
      <c r="G588" s="7" t="s">
        <v>2060</v>
      </c>
      <c r="H588" s="9" t="s">
        <v>2061</v>
      </c>
      <c r="I588" s="8" t="s">
        <v>2172</v>
      </c>
      <c r="J588" s="7" t="n">
        <v>0.55</v>
      </c>
      <c r="K588" s="7"/>
      <c r="L588" s="7" t="s">
        <v>1357</v>
      </c>
      <c r="M588" s="8"/>
      <c r="N588" s="7" t="s">
        <v>27</v>
      </c>
      <c r="O588" s="8" t="s">
        <v>2140</v>
      </c>
    </row>
    <row r="589" customFormat="false" ht="60" hidden="false" customHeight="true" outlineLevel="0" collapsed="false">
      <c r="A589" s="4" t="s">
        <v>2173</v>
      </c>
      <c r="B589" s="5" t="s">
        <v>2016</v>
      </c>
      <c r="C589" s="5" t="s">
        <v>2136</v>
      </c>
      <c r="D589" s="5" t="s">
        <v>2174</v>
      </c>
      <c r="E589" s="5" t="s">
        <v>2175</v>
      </c>
      <c r="F589" s="4" t="s">
        <v>76</v>
      </c>
      <c r="G589" s="4" t="s">
        <v>2060</v>
      </c>
      <c r="H589" s="6" t="s">
        <v>2061</v>
      </c>
      <c r="I589" s="5" t="s">
        <v>2176</v>
      </c>
      <c r="J589" s="4" t="n">
        <v>0.37</v>
      </c>
      <c r="K589" s="4"/>
      <c r="L589" s="4" t="s">
        <v>1357</v>
      </c>
      <c r="M589" s="5"/>
      <c r="N589" s="4" t="s">
        <v>27</v>
      </c>
      <c r="O589" s="5" t="s">
        <v>2140</v>
      </c>
    </row>
    <row r="590" customFormat="false" ht="60" hidden="false" customHeight="true" outlineLevel="0" collapsed="false">
      <c r="A590" s="7" t="s">
        <v>2177</v>
      </c>
      <c r="B590" s="8" t="s">
        <v>2178</v>
      </c>
      <c r="C590" s="8" t="s">
        <v>2179</v>
      </c>
      <c r="D590" s="8" t="s">
        <v>294</v>
      </c>
      <c r="E590" s="8" t="s">
        <v>2180</v>
      </c>
      <c r="F590" s="7" t="s">
        <v>22</v>
      </c>
      <c r="G590" s="7" t="s">
        <v>2060</v>
      </c>
      <c r="H590" s="9" t="s">
        <v>2061</v>
      </c>
      <c r="I590" s="8" t="s">
        <v>2181</v>
      </c>
      <c r="J590" s="7" t="n">
        <v>0.5</v>
      </c>
      <c r="K590" s="7"/>
      <c r="L590" s="7" t="s">
        <v>26</v>
      </c>
      <c r="M590" s="8"/>
      <c r="N590" s="7" t="s">
        <v>27</v>
      </c>
      <c r="O590" s="8" t="s">
        <v>2182</v>
      </c>
    </row>
    <row r="591" customFormat="false" ht="60" hidden="false" customHeight="true" outlineLevel="0" collapsed="false">
      <c r="A591" s="4" t="s">
        <v>2183</v>
      </c>
      <c r="B591" s="5" t="s">
        <v>2178</v>
      </c>
      <c r="C591" s="5" t="s">
        <v>2179</v>
      </c>
      <c r="D591" s="5" t="s">
        <v>299</v>
      </c>
      <c r="E591" s="5" t="s">
        <v>2184</v>
      </c>
      <c r="F591" s="4" t="s">
        <v>22</v>
      </c>
      <c r="G591" s="4" t="s">
        <v>2060</v>
      </c>
      <c r="H591" s="6" t="s">
        <v>2061</v>
      </c>
      <c r="I591" s="5" t="s">
        <v>2185</v>
      </c>
      <c r="J591" s="4" t="n">
        <v>0.4</v>
      </c>
      <c r="K591" s="4"/>
      <c r="L591" s="4" t="s">
        <v>26</v>
      </c>
      <c r="M591" s="5"/>
      <c r="N591" s="4" t="s">
        <v>27</v>
      </c>
      <c r="O591" s="5" t="s">
        <v>2182</v>
      </c>
    </row>
    <row r="592" customFormat="false" ht="60" hidden="false" customHeight="true" outlineLevel="0" collapsed="false">
      <c r="A592" s="7" t="s">
        <v>2186</v>
      </c>
      <c r="B592" s="8" t="s">
        <v>2178</v>
      </c>
      <c r="C592" s="8" t="s">
        <v>2179</v>
      </c>
      <c r="D592" s="8" t="s">
        <v>303</v>
      </c>
      <c r="E592" s="8" t="s">
        <v>2187</v>
      </c>
      <c r="F592" s="7" t="s">
        <v>36</v>
      </c>
      <c r="G592" s="7" t="s">
        <v>2060</v>
      </c>
      <c r="H592" s="9" t="s">
        <v>2061</v>
      </c>
      <c r="I592" s="8" t="s">
        <v>2188</v>
      </c>
      <c r="J592" s="7" t="n">
        <v>0.44</v>
      </c>
      <c r="K592" s="7"/>
      <c r="L592" s="7" t="s">
        <v>26</v>
      </c>
      <c r="M592" s="8"/>
      <c r="N592" s="7" t="s">
        <v>27</v>
      </c>
      <c r="O592" s="8" t="s">
        <v>2182</v>
      </c>
    </row>
    <row r="593" customFormat="false" ht="60" hidden="false" customHeight="true" outlineLevel="0" collapsed="false">
      <c r="A593" s="4" t="s">
        <v>2189</v>
      </c>
      <c r="B593" s="5" t="s">
        <v>2178</v>
      </c>
      <c r="C593" s="5" t="s">
        <v>2179</v>
      </c>
      <c r="D593" s="5" t="s">
        <v>2190</v>
      </c>
      <c r="E593" s="5" t="s">
        <v>2191</v>
      </c>
      <c r="F593" s="4" t="s">
        <v>36</v>
      </c>
      <c r="G593" s="4" t="s">
        <v>2060</v>
      </c>
      <c r="H593" s="6" t="s">
        <v>2061</v>
      </c>
      <c r="I593" s="5" t="s">
        <v>2192</v>
      </c>
      <c r="J593" s="4" t="n">
        <v>1.18</v>
      </c>
      <c r="K593" s="4"/>
      <c r="L593" s="4" t="s">
        <v>26</v>
      </c>
      <c r="M593" s="5"/>
      <c r="N593" s="4" t="s">
        <v>27</v>
      </c>
      <c r="O593" s="5" t="s">
        <v>2182</v>
      </c>
    </row>
    <row r="594" customFormat="false" ht="60" hidden="false" customHeight="true" outlineLevel="0" collapsed="false">
      <c r="A594" s="7" t="s">
        <v>2193</v>
      </c>
      <c r="B594" s="8" t="s">
        <v>2178</v>
      </c>
      <c r="C594" s="8" t="s">
        <v>2179</v>
      </c>
      <c r="D594" s="8" t="s">
        <v>2194</v>
      </c>
      <c r="E594" s="8" t="s">
        <v>2195</v>
      </c>
      <c r="F594" s="7" t="s">
        <v>36</v>
      </c>
      <c r="G594" s="7" t="s">
        <v>2060</v>
      </c>
      <c r="H594" s="9" t="s">
        <v>2061</v>
      </c>
      <c r="I594" s="8" t="s">
        <v>2196</v>
      </c>
      <c r="J594" s="7" t="n">
        <v>0.5</v>
      </c>
      <c r="K594" s="7"/>
      <c r="L594" s="7" t="s">
        <v>26</v>
      </c>
      <c r="M594" s="8"/>
      <c r="N594" s="7" t="s">
        <v>27</v>
      </c>
      <c r="O594" s="8" t="s">
        <v>2182</v>
      </c>
    </row>
    <row r="595" customFormat="false" ht="60" hidden="false" customHeight="true" outlineLevel="0" collapsed="false">
      <c r="A595" s="4" t="s">
        <v>2197</v>
      </c>
      <c r="B595" s="5" t="s">
        <v>2178</v>
      </c>
      <c r="C595" s="5" t="s">
        <v>2179</v>
      </c>
      <c r="D595" s="5" t="s">
        <v>2198</v>
      </c>
      <c r="E595" s="5" t="s">
        <v>2199</v>
      </c>
      <c r="F595" s="4" t="s">
        <v>67</v>
      </c>
      <c r="G595" s="4" t="s">
        <v>2060</v>
      </c>
      <c r="H595" s="6" t="s">
        <v>2061</v>
      </c>
      <c r="I595" s="5" t="s">
        <v>2200</v>
      </c>
      <c r="J595" s="4" t="n">
        <v>0.34</v>
      </c>
      <c r="K595" s="4"/>
      <c r="L595" s="4" t="s">
        <v>26</v>
      </c>
      <c r="M595" s="5"/>
      <c r="N595" s="4" t="s">
        <v>27</v>
      </c>
      <c r="O595" s="5" t="s">
        <v>2182</v>
      </c>
    </row>
    <row r="596" customFormat="false" ht="60" hidden="false" customHeight="true" outlineLevel="0" collapsed="false">
      <c r="A596" s="7" t="s">
        <v>2201</v>
      </c>
      <c r="B596" s="8" t="s">
        <v>2178</v>
      </c>
      <c r="C596" s="8" t="s">
        <v>2179</v>
      </c>
      <c r="D596" s="8" t="s">
        <v>2202</v>
      </c>
      <c r="E596" s="8" t="s">
        <v>2203</v>
      </c>
      <c r="F596" s="7" t="s">
        <v>53</v>
      </c>
      <c r="G596" s="7" t="s">
        <v>2060</v>
      </c>
      <c r="H596" s="9" t="s">
        <v>2061</v>
      </c>
      <c r="I596" s="8" t="s">
        <v>2204</v>
      </c>
      <c r="J596" s="7" t="n">
        <v>1.86</v>
      </c>
      <c r="K596" s="7"/>
      <c r="L596" s="7" t="s">
        <v>26</v>
      </c>
      <c r="M596" s="8"/>
      <c r="N596" s="7" t="s">
        <v>27</v>
      </c>
      <c r="O596" s="8" t="s">
        <v>2182</v>
      </c>
    </row>
    <row r="597" customFormat="false" ht="60" hidden="false" customHeight="true" outlineLevel="0" collapsed="false">
      <c r="A597" s="4" t="s">
        <v>2205</v>
      </c>
      <c r="B597" s="5" t="s">
        <v>2178</v>
      </c>
      <c r="C597" s="5" t="s">
        <v>2179</v>
      </c>
      <c r="D597" s="5" t="s">
        <v>2206</v>
      </c>
      <c r="E597" s="5" t="s">
        <v>2207</v>
      </c>
      <c r="F597" s="4" t="s">
        <v>58</v>
      </c>
      <c r="G597" s="4" t="s">
        <v>2060</v>
      </c>
      <c r="H597" s="6" t="s">
        <v>2061</v>
      </c>
      <c r="I597" s="5" t="s">
        <v>2208</v>
      </c>
      <c r="J597" s="4" t="n">
        <v>1.45</v>
      </c>
      <c r="K597" s="4"/>
      <c r="L597" s="4" t="s">
        <v>26</v>
      </c>
      <c r="M597" s="5"/>
      <c r="N597" s="4" t="s">
        <v>27</v>
      </c>
      <c r="O597" s="5" t="s">
        <v>2182</v>
      </c>
    </row>
    <row r="598" customFormat="false" ht="60" hidden="false" customHeight="true" outlineLevel="0" collapsed="false">
      <c r="A598" s="7" t="s">
        <v>2209</v>
      </c>
      <c r="B598" s="8" t="s">
        <v>2178</v>
      </c>
      <c r="C598" s="8" t="s">
        <v>2179</v>
      </c>
      <c r="D598" s="8" t="s">
        <v>2210</v>
      </c>
      <c r="E598" s="8" t="s">
        <v>2211</v>
      </c>
      <c r="F598" s="7" t="s">
        <v>67</v>
      </c>
      <c r="G598" s="7" t="s">
        <v>2060</v>
      </c>
      <c r="H598" s="9" t="s">
        <v>2061</v>
      </c>
      <c r="I598" s="8" t="s">
        <v>2212</v>
      </c>
      <c r="J598" s="7" t="n">
        <v>0.83</v>
      </c>
      <c r="K598" s="7"/>
      <c r="L598" s="7" t="s">
        <v>26</v>
      </c>
      <c r="M598" s="8"/>
      <c r="N598" s="7" t="s">
        <v>27</v>
      </c>
      <c r="O598" s="8" t="s">
        <v>2182</v>
      </c>
    </row>
    <row r="599" customFormat="false" ht="60" hidden="false" customHeight="true" outlineLevel="0" collapsed="false">
      <c r="A599" s="4" t="s">
        <v>2213</v>
      </c>
      <c r="B599" s="5" t="s">
        <v>2178</v>
      </c>
      <c r="C599" s="5" t="s">
        <v>2179</v>
      </c>
      <c r="D599" s="5" t="s">
        <v>2214</v>
      </c>
      <c r="E599" s="5" t="s">
        <v>2215</v>
      </c>
      <c r="F599" s="4" t="s">
        <v>76</v>
      </c>
      <c r="G599" s="4" t="s">
        <v>2060</v>
      </c>
      <c r="H599" s="6" t="s">
        <v>2061</v>
      </c>
      <c r="I599" s="5" t="s">
        <v>2216</v>
      </c>
      <c r="J599" s="4" t="n">
        <v>0.55</v>
      </c>
      <c r="K599" s="4"/>
      <c r="L599" s="4" t="s">
        <v>26</v>
      </c>
      <c r="M599" s="5"/>
      <c r="N599" s="4" t="s">
        <v>27</v>
      </c>
      <c r="O599" s="5" t="s">
        <v>2182</v>
      </c>
    </row>
    <row r="600" customFormat="false" ht="60" hidden="false" customHeight="true" outlineLevel="0" collapsed="false">
      <c r="A600" s="7" t="s">
        <v>2217</v>
      </c>
      <c r="B600" s="8" t="s">
        <v>2178</v>
      </c>
      <c r="C600" s="8" t="s">
        <v>2218</v>
      </c>
      <c r="D600" s="8" t="s">
        <v>441</v>
      </c>
      <c r="E600" s="8" t="s">
        <v>2219</v>
      </c>
      <c r="F600" s="7" t="s">
        <v>22</v>
      </c>
      <c r="G600" s="7" t="s">
        <v>2060</v>
      </c>
      <c r="H600" s="9" t="s">
        <v>2061</v>
      </c>
      <c r="I600" s="8" t="s">
        <v>2220</v>
      </c>
      <c r="J600" s="7" t="n">
        <v>0.5</v>
      </c>
      <c r="K600" s="7"/>
      <c r="L600" s="7" t="s">
        <v>26</v>
      </c>
      <c r="M600" s="8"/>
      <c r="N600" s="7" t="s">
        <v>27</v>
      </c>
      <c r="O600" s="8" t="s">
        <v>2221</v>
      </c>
    </row>
    <row r="601" customFormat="false" ht="60" hidden="false" customHeight="true" outlineLevel="0" collapsed="false">
      <c r="A601" s="4" t="s">
        <v>2222</v>
      </c>
      <c r="B601" s="5" t="s">
        <v>2178</v>
      </c>
      <c r="C601" s="5" t="s">
        <v>2218</v>
      </c>
      <c r="D601" s="5" t="s">
        <v>446</v>
      </c>
      <c r="E601" s="5" t="s">
        <v>2223</v>
      </c>
      <c r="F601" s="4" t="s">
        <v>22</v>
      </c>
      <c r="G601" s="4" t="s">
        <v>2060</v>
      </c>
      <c r="H601" s="6" t="s">
        <v>2061</v>
      </c>
      <c r="I601" s="5" t="s">
        <v>2224</v>
      </c>
      <c r="J601" s="4" t="n">
        <v>0.4</v>
      </c>
      <c r="K601" s="4"/>
      <c r="L601" s="4" t="s">
        <v>26</v>
      </c>
      <c r="M601" s="5"/>
      <c r="N601" s="4" t="s">
        <v>27</v>
      </c>
      <c r="O601" s="5" t="s">
        <v>2221</v>
      </c>
    </row>
    <row r="602" customFormat="false" ht="60" hidden="false" customHeight="true" outlineLevel="0" collapsed="false">
      <c r="A602" s="7" t="s">
        <v>2225</v>
      </c>
      <c r="B602" s="8" t="s">
        <v>2178</v>
      </c>
      <c r="C602" s="8" t="s">
        <v>2218</v>
      </c>
      <c r="D602" s="8" t="s">
        <v>450</v>
      </c>
      <c r="E602" s="8" t="s">
        <v>2226</v>
      </c>
      <c r="F602" s="7" t="s">
        <v>36</v>
      </c>
      <c r="G602" s="7" t="s">
        <v>2060</v>
      </c>
      <c r="H602" s="9" t="s">
        <v>2061</v>
      </c>
      <c r="I602" s="8" t="s">
        <v>2227</v>
      </c>
      <c r="J602" s="7" t="n">
        <v>0.44</v>
      </c>
      <c r="K602" s="7"/>
      <c r="L602" s="7" t="s">
        <v>26</v>
      </c>
      <c r="M602" s="8"/>
      <c r="N602" s="7" t="s">
        <v>27</v>
      </c>
      <c r="O602" s="8" t="s">
        <v>2221</v>
      </c>
    </row>
    <row r="603" customFormat="false" ht="60" hidden="false" customHeight="true" outlineLevel="0" collapsed="false">
      <c r="A603" s="4" t="s">
        <v>2228</v>
      </c>
      <c r="B603" s="5" t="s">
        <v>2178</v>
      </c>
      <c r="C603" s="5" t="s">
        <v>2218</v>
      </c>
      <c r="D603" s="5" t="s">
        <v>2229</v>
      </c>
      <c r="E603" s="5" t="s">
        <v>2230</v>
      </c>
      <c r="F603" s="4" t="s">
        <v>36</v>
      </c>
      <c r="G603" s="4" t="s">
        <v>2060</v>
      </c>
      <c r="H603" s="6" t="s">
        <v>2061</v>
      </c>
      <c r="I603" s="5" t="s">
        <v>2231</v>
      </c>
      <c r="J603" s="4" t="n">
        <v>1.18</v>
      </c>
      <c r="K603" s="4"/>
      <c r="L603" s="4" t="s">
        <v>26</v>
      </c>
      <c r="M603" s="5"/>
      <c r="N603" s="4" t="s">
        <v>27</v>
      </c>
      <c r="O603" s="5" t="s">
        <v>2221</v>
      </c>
    </row>
    <row r="604" customFormat="false" ht="60" hidden="false" customHeight="true" outlineLevel="0" collapsed="false">
      <c r="A604" s="7" t="s">
        <v>2232</v>
      </c>
      <c r="B604" s="8" t="s">
        <v>2178</v>
      </c>
      <c r="C604" s="8" t="s">
        <v>2218</v>
      </c>
      <c r="D604" s="8" t="s">
        <v>2233</v>
      </c>
      <c r="E604" s="8" t="s">
        <v>2234</v>
      </c>
      <c r="F604" s="7" t="s">
        <v>36</v>
      </c>
      <c r="G604" s="7" t="s">
        <v>2060</v>
      </c>
      <c r="H604" s="9" t="s">
        <v>2061</v>
      </c>
      <c r="I604" s="8" t="s">
        <v>2235</v>
      </c>
      <c r="J604" s="7" t="n">
        <v>0.5</v>
      </c>
      <c r="K604" s="7"/>
      <c r="L604" s="7" t="s">
        <v>26</v>
      </c>
      <c r="M604" s="8"/>
      <c r="N604" s="7" t="s">
        <v>27</v>
      </c>
      <c r="O604" s="8" t="s">
        <v>2221</v>
      </c>
    </row>
    <row r="605" customFormat="false" ht="60" hidden="false" customHeight="true" outlineLevel="0" collapsed="false">
      <c r="A605" s="4" t="s">
        <v>2236</v>
      </c>
      <c r="B605" s="5" t="s">
        <v>2178</v>
      </c>
      <c r="C605" s="5" t="s">
        <v>2218</v>
      </c>
      <c r="D605" s="5" t="s">
        <v>2237</v>
      </c>
      <c r="E605" s="5" t="s">
        <v>2238</v>
      </c>
      <c r="F605" s="4" t="s">
        <v>67</v>
      </c>
      <c r="G605" s="4" t="s">
        <v>2060</v>
      </c>
      <c r="H605" s="6" t="s">
        <v>2061</v>
      </c>
      <c r="I605" s="5" t="s">
        <v>2239</v>
      </c>
      <c r="J605" s="4" t="n">
        <v>0.34</v>
      </c>
      <c r="K605" s="4"/>
      <c r="L605" s="4" t="s">
        <v>26</v>
      </c>
      <c r="M605" s="5"/>
      <c r="N605" s="4" t="s">
        <v>27</v>
      </c>
      <c r="O605" s="5" t="s">
        <v>2221</v>
      </c>
    </row>
    <row r="606" customFormat="false" ht="60" hidden="false" customHeight="true" outlineLevel="0" collapsed="false">
      <c r="A606" s="7" t="s">
        <v>2240</v>
      </c>
      <c r="B606" s="8" t="s">
        <v>2178</v>
      </c>
      <c r="C606" s="8" t="s">
        <v>2218</v>
      </c>
      <c r="D606" s="8" t="s">
        <v>2241</v>
      </c>
      <c r="E606" s="8" t="s">
        <v>2242</v>
      </c>
      <c r="F606" s="7" t="s">
        <v>53</v>
      </c>
      <c r="G606" s="7" t="s">
        <v>2060</v>
      </c>
      <c r="H606" s="9" t="s">
        <v>2061</v>
      </c>
      <c r="I606" s="8" t="s">
        <v>2243</v>
      </c>
      <c r="J606" s="7" t="n">
        <v>1.86</v>
      </c>
      <c r="K606" s="7"/>
      <c r="L606" s="7" t="s">
        <v>26</v>
      </c>
      <c r="M606" s="8"/>
      <c r="N606" s="7" t="s">
        <v>27</v>
      </c>
      <c r="O606" s="8" t="s">
        <v>2221</v>
      </c>
    </row>
    <row r="607" customFormat="false" ht="60" hidden="false" customHeight="true" outlineLevel="0" collapsed="false">
      <c r="A607" s="4" t="s">
        <v>2244</v>
      </c>
      <c r="B607" s="5" t="s">
        <v>2178</v>
      </c>
      <c r="C607" s="5" t="s">
        <v>2218</v>
      </c>
      <c r="D607" s="5" t="s">
        <v>2245</v>
      </c>
      <c r="E607" s="5" t="s">
        <v>2246</v>
      </c>
      <c r="F607" s="4" t="s">
        <v>58</v>
      </c>
      <c r="G607" s="4" t="s">
        <v>2060</v>
      </c>
      <c r="H607" s="6" t="s">
        <v>2061</v>
      </c>
      <c r="I607" s="5" t="s">
        <v>2247</v>
      </c>
      <c r="J607" s="4" t="n">
        <v>1.45</v>
      </c>
      <c r="K607" s="4"/>
      <c r="L607" s="4" t="s">
        <v>26</v>
      </c>
      <c r="M607" s="5"/>
      <c r="N607" s="4" t="s">
        <v>27</v>
      </c>
      <c r="O607" s="5" t="s">
        <v>2221</v>
      </c>
    </row>
    <row r="608" customFormat="false" ht="60" hidden="false" customHeight="true" outlineLevel="0" collapsed="false">
      <c r="A608" s="7" t="s">
        <v>2248</v>
      </c>
      <c r="B608" s="8" t="s">
        <v>2178</v>
      </c>
      <c r="C608" s="8" t="s">
        <v>2218</v>
      </c>
      <c r="D608" s="8" t="s">
        <v>2249</v>
      </c>
      <c r="E608" s="8" t="s">
        <v>2250</v>
      </c>
      <c r="F608" s="7" t="s">
        <v>67</v>
      </c>
      <c r="G608" s="7" t="s">
        <v>2060</v>
      </c>
      <c r="H608" s="9" t="s">
        <v>2061</v>
      </c>
      <c r="I608" s="8" t="s">
        <v>2251</v>
      </c>
      <c r="J608" s="7" t="n">
        <v>0.83</v>
      </c>
      <c r="K608" s="7"/>
      <c r="L608" s="7" t="s">
        <v>26</v>
      </c>
      <c r="M608" s="8"/>
      <c r="N608" s="7" t="s">
        <v>27</v>
      </c>
      <c r="O608" s="8" t="s">
        <v>2221</v>
      </c>
    </row>
    <row r="609" customFormat="false" ht="60" hidden="false" customHeight="true" outlineLevel="0" collapsed="false">
      <c r="A609" s="4" t="s">
        <v>2252</v>
      </c>
      <c r="B609" s="5" t="s">
        <v>2178</v>
      </c>
      <c r="C609" s="5" t="s">
        <v>2218</v>
      </c>
      <c r="D609" s="5" t="s">
        <v>2253</v>
      </c>
      <c r="E609" s="5" t="s">
        <v>2254</v>
      </c>
      <c r="F609" s="4" t="s">
        <v>76</v>
      </c>
      <c r="G609" s="4" t="s">
        <v>2060</v>
      </c>
      <c r="H609" s="6" t="s">
        <v>2061</v>
      </c>
      <c r="I609" s="5" t="s">
        <v>2255</v>
      </c>
      <c r="J609" s="4" t="n">
        <v>0.55</v>
      </c>
      <c r="K609" s="4"/>
      <c r="L609" s="4" t="s">
        <v>26</v>
      </c>
      <c r="M609" s="5"/>
      <c r="N609" s="4" t="s">
        <v>27</v>
      </c>
      <c r="O609" s="5" t="s">
        <v>2221</v>
      </c>
    </row>
    <row r="610" customFormat="false" ht="60" hidden="false" customHeight="true" outlineLevel="0" collapsed="false">
      <c r="A610" s="7" t="s">
        <v>2256</v>
      </c>
      <c r="B610" s="8" t="s">
        <v>2178</v>
      </c>
      <c r="C610" s="8" t="s">
        <v>2257</v>
      </c>
      <c r="D610" s="8" t="s">
        <v>336</v>
      </c>
      <c r="E610" s="8" t="s">
        <v>2258</v>
      </c>
      <c r="F610" s="7" t="s">
        <v>22</v>
      </c>
      <c r="G610" s="7" t="s">
        <v>2060</v>
      </c>
      <c r="H610" s="9" t="s">
        <v>2061</v>
      </c>
      <c r="I610" s="8" t="s">
        <v>2259</v>
      </c>
      <c r="J610" s="7" t="n">
        <v>0.5</v>
      </c>
      <c r="K610" s="7"/>
      <c r="L610" s="7" t="s">
        <v>26</v>
      </c>
      <c r="M610" s="8"/>
      <c r="N610" s="7" t="s">
        <v>27</v>
      </c>
      <c r="O610" s="8" t="s">
        <v>2260</v>
      </c>
    </row>
    <row r="611" customFormat="false" ht="60" hidden="false" customHeight="true" outlineLevel="0" collapsed="false">
      <c r="A611" s="4" t="s">
        <v>2261</v>
      </c>
      <c r="B611" s="5" t="s">
        <v>2178</v>
      </c>
      <c r="C611" s="5" t="s">
        <v>2257</v>
      </c>
      <c r="D611" s="5" t="s">
        <v>341</v>
      </c>
      <c r="E611" s="5" t="s">
        <v>2262</v>
      </c>
      <c r="F611" s="4" t="s">
        <v>22</v>
      </c>
      <c r="G611" s="4" t="s">
        <v>2060</v>
      </c>
      <c r="H611" s="6" t="s">
        <v>2061</v>
      </c>
      <c r="I611" s="5" t="s">
        <v>2263</v>
      </c>
      <c r="J611" s="4" t="n">
        <v>0.4</v>
      </c>
      <c r="K611" s="4"/>
      <c r="L611" s="4" t="s">
        <v>26</v>
      </c>
      <c r="M611" s="5"/>
      <c r="N611" s="4" t="s">
        <v>27</v>
      </c>
      <c r="O611" s="5" t="s">
        <v>2260</v>
      </c>
    </row>
    <row r="612" customFormat="false" ht="60" hidden="false" customHeight="true" outlineLevel="0" collapsed="false">
      <c r="A612" s="7" t="s">
        <v>2264</v>
      </c>
      <c r="B612" s="8" t="s">
        <v>2178</v>
      </c>
      <c r="C612" s="8" t="s">
        <v>2257</v>
      </c>
      <c r="D612" s="8" t="s">
        <v>345</v>
      </c>
      <c r="E612" s="8" t="s">
        <v>2265</v>
      </c>
      <c r="F612" s="7" t="s">
        <v>36</v>
      </c>
      <c r="G612" s="7" t="s">
        <v>2060</v>
      </c>
      <c r="H612" s="9" t="s">
        <v>2061</v>
      </c>
      <c r="I612" s="8" t="s">
        <v>2266</v>
      </c>
      <c r="J612" s="7" t="n">
        <v>0.44</v>
      </c>
      <c r="K612" s="7"/>
      <c r="L612" s="7" t="s">
        <v>26</v>
      </c>
      <c r="M612" s="8"/>
      <c r="N612" s="7" t="s">
        <v>27</v>
      </c>
      <c r="O612" s="8" t="s">
        <v>2260</v>
      </c>
    </row>
    <row r="613" customFormat="false" ht="60" hidden="false" customHeight="true" outlineLevel="0" collapsed="false">
      <c r="A613" s="4" t="s">
        <v>2267</v>
      </c>
      <c r="B613" s="5" t="s">
        <v>2178</v>
      </c>
      <c r="C613" s="5" t="s">
        <v>2257</v>
      </c>
      <c r="D613" s="5" t="s">
        <v>1505</v>
      </c>
      <c r="E613" s="5" t="s">
        <v>1506</v>
      </c>
      <c r="F613" s="4" t="s">
        <v>36</v>
      </c>
      <c r="G613" s="4" t="s">
        <v>2060</v>
      </c>
      <c r="H613" s="6" t="s">
        <v>2061</v>
      </c>
      <c r="I613" s="5" t="s">
        <v>2268</v>
      </c>
      <c r="J613" s="4" t="n">
        <v>1.18</v>
      </c>
      <c r="K613" s="4"/>
      <c r="L613" s="4" t="s">
        <v>26</v>
      </c>
      <c r="M613" s="5"/>
      <c r="N613" s="4" t="s">
        <v>27</v>
      </c>
      <c r="O613" s="5" t="s">
        <v>2260</v>
      </c>
    </row>
    <row r="614" customFormat="false" ht="60" hidden="false" customHeight="true" outlineLevel="0" collapsed="false">
      <c r="A614" s="7" t="s">
        <v>2269</v>
      </c>
      <c r="B614" s="8" t="s">
        <v>2178</v>
      </c>
      <c r="C614" s="8" t="s">
        <v>2257</v>
      </c>
      <c r="D614" s="8" t="s">
        <v>1509</v>
      </c>
      <c r="E614" s="8" t="s">
        <v>1510</v>
      </c>
      <c r="F614" s="7" t="s">
        <v>36</v>
      </c>
      <c r="G614" s="7" t="s">
        <v>2060</v>
      </c>
      <c r="H614" s="9" t="s">
        <v>2061</v>
      </c>
      <c r="I614" s="8" t="s">
        <v>2270</v>
      </c>
      <c r="J614" s="7" t="n">
        <v>0.5</v>
      </c>
      <c r="K614" s="7"/>
      <c r="L614" s="7" t="s">
        <v>26</v>
      </c>
      <c r="M614" s="8"/>
      <c r="N614" s="7" t="s">
        <v>27</v>
      </c>
      <c r="O614" s="8" t="s">
        <v>2260</v>
      </c>
    </row>
    <row r="615" customFormat="false" ht="60" hidden="false" customHeight="true" outlineLevel="0" collapsed="false">
      <c r="A615" s="4" t="s">
        <v>2271</v>
      </c>
      <c r="B615" s="5" t="s">
        <v>2178</v>
      </c>
      <c r="C615" s="5" t="s">
        <v>2257</v>
      </c>
      <c r="D615" s="5" t="s">
        <v>1513</v>
      </c>
      <c r="E615" s="5" t="s">
        <v>1514</v>
      </c>
      <c r="F615" s="4" t="s">
        <v>67</v>
      </c>
      <c r="G615" s="4" t="s">
        <v>2060</v>
      </c>
      <c r="H615" s="6" t="s">
        <v>2061</v>
      </c>
      <c r="I615" s="5" t="s">
        <v>2272</v>
      </c>
      <c r="J615" s="4" t="n">
        <v>0.34</v>
      </c>
      <c r="K615" s="4"/>
      <c r="L615" s="4" t="s">
        <v>26</v>
      </c>
      <c r="M615" s="5"/>
      <c r="N615" s="4" t="s">
        <v>27</v>
      </c>
      <c r="O615" s="5" t="s">
        <v>2260</v>
      </c>
    </row>
    <row r="616" customFormat="false" ht="60" hidden="false" customHeight="true" outlineLevel="0" collapsed="false">
      <c r="A616" s="7" t="s">
        <v>2273</v>
      </c>
      <c r="B616" s="8" t="s">
        <v>2178</v>
      </c>
      <c r="C616" s="8" t="s">
        <v>2257</v>
      </c>
      <c r="D616" s="8" t="s">
        <v>1517</v>
      </c>
      <c r="E616" s="8" t="s">
        <v>1518</v>
      </c>
      <c r="F616" s="7" t="s">
        <v>53</v>
      </c>
      <c r="G616" s="7" t="s">
        <v>2060</v>
      </c>
      <c r="H616" s="9" t="s">
        <v>2061</v>
      </c>
      <c r="I616" s="8" t="s">
        <v>2274</v>
      </c>
      <c r="J616" s="7" t="n">
        <v>1.86</v>
      </c>
      <c r="K616" s="7"/>
      <c r="L616" s="7" t="s">
        <v>26</v>
      </c>
      <c r="M616" s="8"/>
      <c r="N616" s="7" t="s">
        <v>27</v>
      </c>
      <c r="O616" s="8" t="s">
        <v>2260</v>
      </c>
    </row>
    <row r="617" customFormat="false" ht="60" hidden="false" customHeight="true" outlineLevel="0" collapsed="false">
      <c r="A617" s="4" t="s">
        <v>2275</v>
      </c>
      <c r="B617" s="5" t="s">
        <v>2178</v>
      </c>
      <c r="C617" s="5" t="s">
        <v>2257</v>
      </c>
      <c r="D617" s="5" t="s">
        <v>1521</v>
      </c>
      <c r="E617" s="5" t="s">
        <v>1522</v>
      </c>
      <c r="F617" s="4" t="s">
        <v>58</v>
      </c>
      <c r="G617" s="4" t="s">
        <v>2060</v>
      </c>
      <c r="H617" s="6" t="s">
        <v>2061</v>
      </c>
      <c r="I617" s="5" t="s">
        <v>2276</v>
      </c>
      <c r="J617" s="4" t="n">
        <v>1.45</v>
      </c>
      <c r="K617" s="4"/>
      <c r="L617" s="4" t="s">
        <v>26</v>
      </c>
      <c r="M617" s="5"/>
      <c r="N617" s="4" t="s">
        <v>27</v>
      </c>
      <c r="O617" s="5" t="s">
        <v>2260</v>
      </c>
    </row>
    <row r="618" customFormat="false" ht="60" hidden="false" customHeight="true" outlineLevel="0" collapsed="false">
      <c r="A618" s="7" t="s">
        <v>2277</v>
      </c>
      <c r="B618" s="8" t="s">
        <v>2178</v>
      </c>
      <c r="C618" s="8" t="s">
        <v>2257</v>
      </c>
      <c r="D618" s="8" t="s">
        <v>1525</v>
      </c>
      <c r="E618" s="8" t="s">
        <v>1526</v>
      </c>
      <c r="F618" s="7" t="s">
        <v>67</v>
      </c>
      <c r="G618" s="7" t="s">
        <v>2060</v>
      </c>
      <c r="H618" s="9" t="s">
        <v>2061</v>
      </c>
      <c r="I618" s="8" t="s">
        <v>2278</v>
      </c>
      <c r="J618" s="7" t="n">
        <v>0.83</v>
      </c>
      <c r="K618" s="7"/>
      <c r="L618" s="7" t="s">
        <v>26</v>
      </c>
      <c r="M618" s="8"/>
      <c r="N618" s="7" t="s">
        <v>27</v>
      </c>
      <c r="O618" s="8" t="s">
        <v>2260</v>
      </c>
    </row>
    <row r="619" customFormat="false" ht="60" hidden="false" customHeight="true" outlineLevel="0" collapsed="false">
      <c r="A619" s="4" t="s">
        <v>2279</v>
      </c>
      <c r="B619" s="5" t="s">
        <v>2178</v>
      </c>
      <c r="C619" s="5" t="s">
        <v>2257</v>
      </c>
      <c r="D619" s="5" t="s">
        <v>1529</v>
      </c>
      <c r="E619" s="5" t="s">
        <v>1530</v>
      </c>
      <c r="F619" s="4" t="s">
        <v>76</v>
      </c>
      <c r="G619" s="4" t="s">
        <v>2060</v>
      </c>
      <c r="H619" s="6" t="s">
        <v>2061</v>
      </c>
      <c r="I619" s="5" t="s">
        <v>2280</v>
      </c>
      <c r="J619" s="4" t="n">
        <v>0.55</v>
      </c>
      <c r="K619" s="4"/>
      <c r="L619" s="4" t="s">
        <v>26</v>
      </c>
      <c r="M619" s="5"/>
      <c r="N619" s="4" t="s">
        <v>27</v>
      </c>
      <c r="O619" s="5" t="s">
        <v>2260</v>
      </c>
    </row>
    <row r="620" customFormat="false" ht="60" hidden="false" customHeight="true" outlineLevel="0" collapsed="false">
      <c r="A620" s="7" t="s">
        <v>2281</v>
      </c>
      <c r="B620" s="8" t="s">
        <v>2178</v>
      </c>
      <c r="C620" s="8" t="s">
        <v>2282</v>
      </c>
      <c r="D620" s="8" t="s">
        <v>1872</v>
      </c>
      <c r="E620" s="8" t="s">
        <v>2283</v>
      </c>
      <c r="F620" s="7" t="s">
        <v>22</v>
      </c>
      <c r="G620" s="7" t="s">
        <v>2284</v>
      </c>
      <c r="H620" s="9" t="s">
        <v>2285</v>
      </c>
      <c r="I620" s="8" t="s">
        <v>2286</v>
      </c>
      <c r="J620" s="7" t="n">
        <v>0.5</v>
      </c>
      <c r="K620" s="7"/>
      <c r="L620" s="7" t="s">
        <v>26</v>
      </c>
      <c r="M620" s="8"/>
      <c r="N620" s="7" t="s">
        <v>27</v>
      </c>
      <c r="O620" s="8" t="s">
        <v>2287</v>
      </c>
    </row>
    <row r="621" customFormat="false" ht="60" hidden="false" customHeight="true" outlineLevel="0" collapsed="false">
      <c r="A621" s="4" t="s">
        <v>2288</v>
      </c>
      <c r="B621" s="5" t="s">
        <v>2178</v>
      </c>
      <c r="C621" s="5" t="s">
        <v>2282</v>
      </c>
      <c r="D621" s="5" t="s">
        <v>1877</v>
      </c>
      <c r="E621" s="5" t="s">
        <v>2289</v>
      </c>
      <c r="F621" s="4" t="s">
        <v>22</v>
      </c>
      <c r="G621" s="4" t="s">
        <v>2284</v>
      </c>
      <c r="H621" s="6" t="s">
        <v>2285</v>
      </c>
      <c r="I621" s="5" t="s">
        <v>2290</v>
      </c>
      <c r="J621" s="4" t="n">
        <v>0.4</v>
      </c>
      <c r="K621" s="4"/>
      <c r="L621" s="4" t="s">
        <v>26</v>
      </c>
      <c r="M621" s="5"/>
      <c r="N621" s="4" t="s">
        <v>27</v>
      </c>
      <c r="O621" s="5" t="s">
        <v>2287</v>
      </c>
    </row>
    <row r="622" customFormat="false" ht="60" hidden="false" customHeight="true" outlineLevel="0" collapsed="false">
      <c r="A622" s="7" t="s">
        <v>2291</v>
      </c>
      <c r="B622" s="8" t="s">
        <v>2178</v>
      </c>
      <c r="C622" s="8" t="s">
        <v>2282</v>
      </c>
      <c r="D622" s="8" t="s">
        <v>1881</v>
      </c>
      <c r="E622" s="8" t="s">
        <v>2292</v>
      </c>
      <c r="F622" s="7" t="s">
        <v>36</v>
      </c>
      <c r="G622" s="7" t="s">
        <v>2284</v>
      </c>
      <c r="H622" s="9" t="s">
        <v>2285</v>
      </c>
      <c r="I622" s="8" t="s">
        <v>2293</v>
      </c>
      <c r="J622" s="7" t="n">
        <v>0.44</v>
      </c>
      <c r="K622" s="7"/>
      <c r="L622" s="7" t="s">
        <v>26</v>
      </c>
      <c r="M622" s="8"/>
      <c r="N622" s="7" t="s">
        <v>27</v>
      </c>
      <c r="O622" s="8" t="s">
        <v>2287</v>
      </c>
    </row>
    <row r="623" customFormat="false" ht="60" hidden="false" customHeight="true" outlineLevel="0" collapsed="false">
      <c r="A623" s="4" t="s">
        <v>2294</v>
      </c>
      <c r="B623" s="5" t="s">
        <v>2178</v>
      </c>
      <c r="C623" s="5" t="s">
        <v>2282</v>
      </c>
      <c r="D623" s="5" t="s">
        <v>1671</v>
      </c>
      <c r="E623" s="5" t="s">
        <v>1672</v>
      </c>
      <c r="F623" s="4" t="s">
        <v>36</v>
      </c>
      <c r="G623" s="4" t="s">
        <v>2284</v>
      </c>
      <c r="H623" s="6" t="s">
        <v>2285</v>
      </c>
      <c r="I623" s="5" t="s">
        <v>2295</v>
      </c>
      <c r="J623" s="4" t="n">
        <v>1.18</v>
      </c>
      <c r="K623" s="4"/>
      <c r="L623" s="4" t="s">
        <v>26</v>
      </c>
      <c r="M623" s="5"/>
      <c r="N623" s="4" t="s">
        <v>27</v>
      </c>
      <c r="O623" s="5" t="s">
        <v>2287</v>
      </c>
    </row>
    <row r="624" customFormat="false" ht="60" hidden="false" customHeight="true" outlineLevel="0" collapsed="false">
      <c r="A624" s="7" t="s">
        <v>2296</v>
      </c>
      <c r="B624" s="8" t="s">
        <v>2178</v>
      </c>
      <c r="C624" s="8" t="s">
        <v>2282</v>
      </c>
      <c r="D624" s="8" t="s">
        <v>1675</v>
      </c>
      <c r="E624" s="8" t="s">
        <v>2297</v>
      </c>
      <c r="F624" s="7" t="s">
        <v>36</v>
      </c>
      <c r="G624" s="7" t="s">
        <v>2284</v>
      </c>
      <c r="H624" s="9" t="s">
        <v>2285</v>
      </c>
      <c r="I624" s="8" t="s">
        <v>2298</v>
      </c>
      <c r="J624" s="7" t="n">
        <v>0.5</v>
      </c>
      <c r="K624" s="7"/>
      <c r="L624" s="7" t="s">
        <v>26</v>
      </c>
      <c r="M624" s="8"/>
      <c r="N624" s="7" t="s">
        <v>27</v>
      </c>
      <c r="O624" s="8" t="s">
        <v>2287</v>
      </c>
    </row>
    <row r="625" customFormat="false" ht="60" hidden="false" customHeight="true" outlineLevel="0" collapsed="false">
      <c r="A625" s="4" t="s">
        <v>2299</v>
      </c>
      <c r="B625" s="5" t="s">
        <v>2178</v>
      </c>
      <c r="C625" s="5" t="s">
        <v>2282</v>
      </c>
      <c r="D625" s="5" t="s">
        <v>1679</v>
      </c>
      <c r="E625" s="5" t="s">
        <v>2300</v>
      </c>
      <c r="F625" s="4" t="s">
        <v>67</v>
      </c>
      <c r="G625" s="4" t="s">
        <v>2284</v>
      </c>
      <c r="H625" s="6" t="s">
        <v>2285</v>
      </c>
      <c r="I625" s="5" t="s">
        <v>2301</v>
      </c>
      <c r="J625" s="4" t="n">
        <v>0.34</v>
      </c>
      <c r="K625" s="4"/>
      <c r="L625" s="4" t="s">
        <v>26</v>
      </c>
      <c r="M625" s="5"/>
      <c r="N625" s="4" t="s">
        <v>27</v>
      </c>
      <c r="O625" s="5" t="s">
        <v>2287</v>
      </c>
    </row>
    <row r="626" customFormat="false" ht="60" hidden="false" customHeight="true" outlineLevel="0" collapsed="false">
      <c r="A626" s="7" t="s">
        <v>2302</v>
      </c>
      <c r="B626" s="8" t="s">
        <v>2178</v>
      </c>
      <c r="C626" s="8" t="s">
        <v>2282</v>
      </c>
      <c r="D626" s="8" t="s">
        <v>1683</v>
      </c>
      <c r="E626" s="8" t="s">
        <v>1684</v>
      </c>
      <c r="F626" s="7" t="s">
        <v>53</v>
      </c>
      <c r="G626" s="7" t="s">
        <v>2284</v>
      </c>
      <c r="H626" s="9" t="s">
        <v>2285</v>
      </c>
      <c r="I626" s="8" t="s">
        <v>2303</v>
      </c>
      <c r="J626" s="7" t="n">
        <v>1.86</v>
      </c>
      <c r="K626" s="7"/>
      <c r="L626" s="7" t="s">
        <v>26</v>
      </c>
      <c r="M626" s="8"/>
      <c r="N626" s="7" t="s">
        <v>27</v>
      </c>
      <c r="O626" s="8" t="s">
        <v>2287</v>
      </c>
    </row>
    <row r="627" customFormat="false" ht="60" hidden="false" customHeight="true" outlineLevel="0" collapsed="false">
      <c r="A627" s="4" t="s">
        <v>2304</v>
      </c>
      <c r="B627" s="5" t="s">
        <v>2178</v>
      </c>
      <c r="C627" s="5" t="s">
        <v>2282</v>
      </c>
      <c r="D627" s="5" t="s">
        <v>1687</v>
      </c>
      <c r="E627" s="5" t="s">
        <v>2305</v>
      </c>
      <c r="F627" s="4" t="s">
        <v>58</v>
      </c>
      <c r="G627" s="4" t="s">
        <v>2284</v>
      </c>
      <c r="H627" s="6" t="s">
        <v>2285</v>
      </c>
      <c r="I627" s="5" t="s">
        <v>2306</v>
      </c>
      <c r="J627" s="4" t="n">
        <v>1.45</v>
      </c>
      <c r="K627" s="4"/>
      <c r="L627" s="4" t="s">
        <v>26</v>
      </c>
      <c r="M627" s="5"/>
      <c r="N627" s="4" t="s">
        <v>27</v>
      </c>
      <c r="O627" s="5" t="s">
        <v>2287</v>
      </c>
    </row>
    <row r="628" customFormat="false" ht="60" hidden="false" customHeight="true" outlineLevel="0" collapsed="false">
      <c r="A628" s="7" t="s">
        <v>2307</v>
      </c>
      <c r="B628" s="8" t="s">
        <v>2178</v>
      </c>
      <c r="C628" s="8" t="s">
        <v>2282</v>
      </c>
      <c r="D628" s="8" t="s">
        <v>1691</v>
      </c>
      <c r="E628" s="8" t="s">
        <v>1692</v>
      </c>
      <c r="F628" s="7" t="s">
        <v>67</v>
      </c>
      <c r="G628" s="7" t="s">
        <v>2284</v>
      </c>
      <c r="H628" s="9" t="s">
        <v>2285</v>
      </c>
      <c r="I628" s="8" t="s">
        <v>2308</v>
      </c>
      <c r="J628" s="7" t="n">
        <v>0.83</v>
      </c>
      <c r="K628" s="7"/>
      <c r="L628" s="7" t="s">
        <v>26</v>
      </c>
      <c r="M628" s="8"/>
      <c r="N628" s="7" t="s">
        <v>27</v>
      </c>
      <c r="O628" s="8" t="s">
        <v>2287</v>
      </c>
    </row>
    <row r="629" customFormat="false" ht="60" hidden="false" customHeight="true" outlineLevel="0" collapsed="false">
      <c r="A629" s="4" t="s">
        <v>2309</v>
      </c>
      <c r="B629" s="5" t="s">
        <v>2178</v>
      </c>
      <c r="C629" s="5" t="s">
        <v>2282</v>
      </c>
      <c r="D629" s="5" t="s">
        <v>1695</v>
      </c>
      <c r="E629" s="5" t="s">
        <v>1696</v>
      </c>
      <c r="F629" s="4" t="s">
        <v>76</v>
      </c>
      <c r="G629" s="4" t="s">
        <v>2284</v>
      </c>
      <c r="H629" s="6" t="s">
        <v>2285</v>
      </c>
      <c r="I629" s="5" t="s">
        <v>2310</v>
      </c>
      <c r="J629" s="4" t="n">
        <v>0.55</v>
      </c>
      <c r="K629" s="4"/>
      <c r="L629" s="4" t="s">
        <v>26</v>
      </c>
      <c r="M629" s="5"/>
      <c r="N629" s="4" t="s">
        <v>27</v>
      </c>
      <c r="O629" s="5" t="s">
        <v>2287</v>
      </c>
    </row>
    <row r="630" customFormat="false" ht="60" hidden="false" customHeight="true" outlineLevel="0" collapsed="false">
      <c r="A630" s="7" t="s">
        <v>2311</v>
      </c>
      <c r="B630" s="8" t="s">
        <v>2178</v>
      </c>
      <c r="C630" s="8" t="s">
        <v>2312</v>
      </c>
      <c r="D630" s="8" t="s">
        <v>336</v>
      </c>
      <c r="E630" s="8" t="s">
        <v>2313</v>
      </c>
      <c r="F630" s="7" t="s">
        <v>22</v>
      </c>
      <c r="G630" s="7" t="s">
        <v>2284</v>
      </c>
      <c r="H630" s="9" t="s">
        <v>2285</v>
      </c>
      <c r="I630" s="8" t="s">
        <v>2314</v>
      </c>
      <c r="J630" s="7" t="n">
        <v>0.84</v>
      </c>
      <c r="K630" s="7"/>
      <c r="L630" s="7" t="s">
        <v>26</v>
      </c>
      <c r="M630" s="8"/>
      <c r="N630" s="7" t="s">
        <v>27</v>
      </c>
      <c r="O630" s="8" t="s">
        <v>2315</v>
      </c>
    </row>
    <row r="631" customFormat="false" ht="60" hidden="false" customHeight="true" outlineLevel="0" collapsed="false">
      <c r="A631" s="4" t="s">
        <v>2316</v>
      </c>
      <c r="B631" s="5" t="s">
        <v>2178</v>
      </c>
      <c r="C631" s="5" t="s">
        <v>2312</v>
      </c>
      <c r="D631" s="5" t="s">
        <v>341</v>
      </c>
      <c r="E631" s="5" t="s">
        <v>2317</v>
      </c>
      <c r="F631" s="4" t="s">
        <v>22</v>
      </c>
      <c r="G631" s="4" t="s">
        <v>2284</v>
      </c>
      <c r="H631" s="6" t="s">
        <v>2285</v>
      </c>
      <c r="I631" s="5" t="s">
        <v>2318</v>
      </c>
      <c r="J631" s="4" t="n">
        <v>0.67</v>
      </c>
      <c r="K631" s="4"/>
      <c r="L631" s="4" t="s">
        <v>26</v>
      </c>
      <c r="M631" s="5"/>
      <c r="N631" s="4" t="s">
        <v>27</v>
      </c>
      <c r="O631" s="5" t="s">
        <v>2315</v>
      </c>
    </row>
    <row r="632" customFormat="false" ht="60" hidden="false" customHeight="true" outlineLevel="0" collapsed="false">
      <c r="A632" s="7" t="s">
        <v>2319</v>
      </c>
      <c r="B632" s="8" t="s">
        <v>2178</v>
      </c>
      <c r="C632" s="8" t="s">
        <v>2312</v>
      </c>
      <c r="D632" s="8" t="s">
        <v>345</v>
      </c>
      <c r="E632" s="8" t="s">
        <v>2320</v>
      </c>
      <c r="F632" s="7" t="s">
        <v>36</v>
      </c>
      <c r="G632" s="7" t="s">
        <v>2284</v>
      </c>
      <c r="H632" s="9" t="s">
        <v>2285</v>
      </c>
      <c r="I632" s="8" t="s">
        <v>2321</v>
      </c>
      <c r="J632" s="7" t="n">
        <v>0.73</v>
      </c>
      <c r="K632" s="7"/>
      <c r="L632" s="7" t="s">
        <v>26</v>
      </c>
      <c r="M632" s="8"/>
      <c r="N632" s="7" t="s">
        <v>27</v>
      </c>
      <c r="O632" s="8" t="s">
        <v>2315</v>
      </c>
    </row>
    <row r="633" customFormat="false" ht="60" hidden="false" customHeight="true" outlineLevel="0" collapsed="false">
      <c r="A633" s="4" t="s">
        <v>2322</v>
      </c>
      <c r="B633" s="5" t="s">
        <v>2178</v>
      </c>
      <c r="C633" s="5" t="s">
        <v>2312</v>
      </c>
      <c r="D633" s="5" t="s">
        <v>2323</v>
      </c>
      <c r="E633" s="5" t="s">
        <v>2324</v>
      </c>
      <c r="F633" s="4" t="s">
        <v>36</v>
      </c>
      <c r="G633" s="4" t="s">
        <v>2284</v>
      </c>
      <c r="H633" s="6" t="s">
        <v>2285</v>
      </c>
      <c r="I633" s="5" t="s">
        <v>2325</v>
      </c>
      <c r="J633" s="4" t="n">
        <v>1.96</v>
      </c>
      <c r="K633" s="4"/>
      <c r="L633" s="4" t="s">
        <v>26</v>
      </c>
      <c r="M633" s="5"/>
      <c r="N633" s="4" t="s">
        <v>27</v>
      </c>
      <c r="O633" s="5" t="s">
        <v>2315</v>
      </c>
    </row>
    <row r="634" customFormat="false" ht="60" hidden="false" customHeight="true" outlineLevel="0" collapsed="false">
      <c r="A634" s="7" t="s">
        <v>2326</v>
      </c>
      <c r="B634" s="8" t="s">
        <v>2178</v>
      </c>
      <c r="C634" s="8" t="s">
        <v>2312</v>
      </c>
      <c r="D634" s="8" t="s">
        <v>2327</v>
      </c>
      <c r="E634" s="8" t="s">
        <v>2328</v>
      </c>
      <c r="F634" s="7" t="s">
        <v>36</v>
      </c>
      <c r="G634" s="7" t="s">
        <v>2284</v>
      </c>
      <c r="H634" s="9" t="s">
        <v>2285</v>
      </c>
      <c r="I634" s="8" t="s">
        <v>2329</v>
      </c>
      <c r="J634" s="7" t="n">
        <v>0.84</v>
      </c>
      <c r="K634" s="7"/>
      <c r="L634" s="7" t="s">
        <v>26</v>
      </c>
      <c r="M634" s="8"/>
      <c r="N634" s="7" t="s">
        <v>27</v>
      </c>
      <c r="O634" s="8" t="s">
        <v>2315</v>
      </c>
    </row>
    <row r="635" customFormat="false" ht="60" hidden="false" customHeight="true" outlineLevel="0" collapsed="false">
      <c r="A635" s="4" t="s">
        <v>2330</v>
      </c>
      <c r="B635" s="5" t="s">
        <v>2178</v>
      </c>
      <c r="C635" s="5" t="s">
        <v>2312</v>
      </c>
      <c r="D635" s="5" t="s">
        <v>2331</v>
      </c>
      <c r="E635" s="5" t="s">
        <v>2332</v>
      </c>
      <c r="F635" s="4" t="s">
        <v>67</v>
      </c>
      <c r="G635" s="4" t="s">
        <v>2284</v>
      </c>
      <c r="H635" s="6" t="s">
        <v>2285</v>
      </c>
      <c r="I635" s="5" t="s">
        <v>2333</v>
      </c>
      <c r="J635" s="4" t="n">
        <v>0.56</v>
      </c>
      <c r="K635" s="4"/>
      <c r="L635" s="4" t="s">
        <v>26</v>
      </c>
      <c r="M635" s="5"/>
      <c r="N635" s="4" t="s">
        <v>27</v>
      </c>
      <c r="O635" s="5" t="s">
        <v>2315</v>
      </c>
    </row>
    <row r="636" customFormat="false" ht="60" hidden="false" customHeight="true" outlineLevel="0" collapsed="false">
      <c r="A636" s="7" t="s">
        <v>2334</v>
      </c>
      <c r="B636" s="8" t="s">
        <v>2178</v>
      </c>
      <c r="C636" s="8" t="s">
        <v>2312</v>
      </c>
      <c r="D636" s="8" t="s">
        <v>2335</v>
      </c>
      <c r="E636" s="8" t="s">
        <v>2336</v>
      </c>
      <c r="F636" s="7" t="s">
        <v>53</v>
      </c>
      <c r="G636" s="7" t="s">
        <v>2284</v>
      </c>
      <c r="H636" s="9" t="s">
        <v>2285</v>
      </c>
      <c r="I636" s="8" t="s">
        <v>2337</v>
      </c>
      <c r="J636" s="7" t="n">
        <v>3.1</v>
      </c>
      <c r="K636" s="7"/>
      <c r="L636" s="7" t="s">
        <v>26</v>
      </c>
      <c r="M636" s="8"/>
      <c r="N636" s="7" t="s">
        <v>27</v>
      </c>
      <c r="O636" s="8" t="s">
        <v>2315</v>
      </c>
    </row>
    <row r="637" customFormat="false" ht="60" hidden="false" customHeight="true" outlineLevel="0" collapsed="false">
      <c r="A637" s="4" t="s">
        <v>2338</v>
      </c>
      <c r="B637" s="5" t="s">
        <v>2178</v>
      </c>
      <c r="C637" s="5" t="s">
        <v>2312</v>
      </c>
      <c r="D637" s="5" t="s">
        <v>2339</v>
      </c>
      <c r="E637" s="5" t="s">
        <v>2340</v>
      </c>
      <c r="F637" s="4" t="s">
        <v>58</v>
      </c>
      <c r="G637" s="4" t="s">
        <v>2284</v>
      </c>
      <c r="H637" s="6" t="s">
        <v>2285</v>
      </c>
      <c r="I637" s="5" t="s">
        <v>2341</v>
      </c>
      <c r="J637" s="4" t="n">
        <v>2.41</v>
      </c>
      <c r="K637" s="4"/>
      <c r="L637" s="4" t="s">
        <v>26</v>
      </c>
      <c r="M637" s="5"/>
      <c r="N637" s="4" t="s">
        <v>27</v>
      </c>
      <c r="O637" s="5" t="s">
        <v>2315</v>
      </c>
    </row>
    <row r="638" customFormat="false" ht="60" hidden="false" customHeight="true" outlineLevel="0" collapsed="false">
      <c r="A638" s="7" t="s">
        <v>2342</v>
      </c>
      <c r="B638" s="8" t="s">
        <v>2178</v>
      </c>
      <c r="C638" s="8" t="s">
        <v>2312</v>
      </c>
      <c r="D638" s="8" t="s">
        <v>2343</v>
      </c>
      <c r="E638" s="8" t="s">
        <v>2344</v>
      </c>
      <c r="F638" s="7" t="s">
        <v>67</v>
      </c>
      <c r="G638" s="7" t="s">
        <v>2284</v>
      </c>
      <c r="H638" s="9" t="s">
        <v>2285</v>
      </c>
      <c r="I638" s="8" t="s">
        <v>2345</v>
      </c>
      <c r="J638" s="7" t="n">
        <v>1.38</v>
      </c>
      <c r="K638" s="7"/>
      <c r="L638" s="7" t="s">
        <v>26</v>
      </c>
      <c r="M638" s="8"/>
      <c r="N638" s="7" t="s">
        <v>27</v>
      </c>
      <c r="O638" s="8" t="s">
        <v>2315</v>
      </c>
    </row>
    <row r="639" customFormat="false" ht="60" hidden="false" customHeight="true" outlineLevel="0" collapsed="false">
      <c r="A639" s="4" t="s">
        <v>2346</v>
      </c>
      <c r="B639" s="5" t="s">
        <v>2178</v>
      </c>
      <c r="C639" s="5" t="s">
        <v>2312</v>
      </c>
      <c r="D639" s="5" t="s">
        <v>2347</v>
      </c>
      <c r="E639" s="5" t="s">
        <v>2348</v>
      </c>
      <c r="F639" s="4" t="s">
        <v>76</v>
      </c>
      <c r="G639" s="4" t="s">
        <v>2284</v>
      </c>
      <c r="H639" s="6" t="s">
        <v>2285</v>
      </c>
      <c r="I639" s="5" t="s">
        <v>2349</v>
      </c>
      <c r="J639" s="4" t="n">
        <v>0.92</v>
      </c>
      <c r="K639" s="4"/>
      <c r="L639" s="4" t="s">
        <v>26</v>
      </c>
      <c r="M639" s="5"/>
      <c r="N639" s="4" t="s">
        <v>27</v>
      </c>
      <c r="O639" s="5" t="s">
        <v>2315</v>
      </c>
    </row>
    <row r="640" customFormat="false" ht="60" hidden="false" customHeight="true" outlineLevel="0" collapsed="false">
      <c r="A640" s="7" t="s">
        <v>2350</v>
      </c>
      <c r="B640" s="8" t="s">
        <v>2178</v>
      </c>
      <c r="C640" s="8" t="s">
        <v>2351</v>
      </c>
      <c r="D640" s="8" t="s">
        <v>336</v>
      </c>
      <c r="E640" s="8" t="s">
        <v>2313</v>
      </c>
      <c r="F640" s="7" t="s">
        <v>22</v>
      </c>
      <c r="G640" s="7" t="s">
        <v>2284</v>
      </c>
      <c r="H640" s="9" t="s">
        <v>2285</v>
      </c>
      <c r="I640" s="8" t="s">
        <v>2352</v>
      </c>
      <c r="J640" s="7" t="n">
        <v>0.84</v>
      </c>
      <c r="K640" s="7"/>
      <c r="L640" s="7" t="s">
        <v>253</v>
      </c>
      <c r="M640" s="8"/>
      <c r="N640" s="7" t="s">
        <v>27</v>
      </c>
      <c r="O640" s="8" t="s">
        <v>2353</v>
      </c>
    </row>
    <row r="641" customFormat="false" ht="60" hidden="false" customHeight="true" outlineLevel="0" collapsed="false">
      <c r="A641" s="4" t="s">
        <v>2354</v>
      </c>
      <c r="B641" s="5" t="s">
        <v>2178</v>
      </c>
      <c r="C641" s="5" t="s">
        <v>2351</v>
      </c>
      <c r="D641" s="5" t="s">
        <v>341</v>
      </c>
      <c r="E641" s="5" t="s">
        <v>2317</v>
      </c>
      <c r="F641" s="4" t="s">
        <v>22</v>
      </c>
      <c r="G641" s="4" t="s">
        <v>2284</v>
      </c>
      <c r="H641" s="6" t="s">
        <v>2285</v>
      </c>
      <c r="I641" s="5" t="s">
        <v>2355</v>
      </c>
      <c r="J641" s="4" t="n">
        <v>0.67</v>
      </c>
      <c r="K641" s="4"/>
      <c r="L641" s="4" t="s">
        <v>253</v>
      </c>
      <c r="M641" s="5"/>
      <c r="N641" s="4" t="s">
        <v>27</v>
      </c>
      <c r="O641" s="5" t="s">
        <v>2353</v>
      </c>
    </row>
    <row r="642" customFormat="false" ht="60" hidden="false" customHeight="true" outlineLevel="0" collapsed="false">
      <c r="A642" s="7" t="s">
        <v>2356</v>
      </c>
      <c r="B642" s="8" t="s">
        <v>2178</v>
      </c>
      <c r="C642" s="8" t="s">
        <v>2351</v>
      </c>
      <c r="D642" s="8" t="s">
        <v>345</v>
      </c>
      <c r="E642" s="8" t="s">
        <v>2320</v>
      </c>
      <c r="F642" s="7" t="s">
        <v>36</v>
      </c>
      <c r="G642" s="7" t="s">
        <v>2284</v>
      </c>
      <c r="H642" s="9" t="s">
        <v>2285</v>
      </c>
      <c r="I642" s="8" t="s">
        <v>2357</v>
      </c>
      <c r="J642" s="7" t="n">
        <v>0.73</v>
      </c>
      <c r="K642" s="7"/>
      <c r="L642" s="7" t="s">
        <v>253</v>
      </c>
      <c r="M642" s="8"/>
      <c r="N642" s="7" t="s">
        <v>27</v>
      </c>
      <c r="O642" s="8" t="s">
        <v>2353</v>
      </c>
    </row>
    <row r="643" customFormat="false" ht="60" hidden="false" customHeight="true" outlineLevel="0" collapsed="false">
      <c r="A643" s="4" t="s">
        <v>2358</v>
      </c>
      <c r="B643" s="5" t="s">
        <v>2178</v>
      </c>
      <c r="C643" s="5" t="s">
        <v>2351</v>
      </c>
      <c r="D643" s="5" t="s">
        <v>2323</v>
      </c>
      <c r="E643" s="5" t="s">
        <v>2324</v>
      </c>
      <c r="F643" s="4" t="s">
        <v>36</v>
      </c>
      <c r="G643" s="4" t="s">
        <v>2284</v>
      </c>
      <c r="H643" s="6" t="s">
        <v>2285</v>
      </c>
      <c r="I643" s="5" t="s">
        <v>2359</v>
      </c>
      <c r="J643" s="4" t="n">
        <v>1.96</v>
      </c>
      <c r="K643" s="4"/>
      <c r="L643" s="4" t="s">
        <v>253</v>
      </c>
      <c r="M643" s="5"/>
      <c r="N643" s="4" t="s">
        <v>27</v>
      </c>
      <c r="O643" s="5" t="s">
        <v>2353</v>
      </c>
    </row>
    <row r="644" customFormat="false" ht="60" hidden="false" customHeight="true" outlineLevel="0" collapsed="false">
      <c r="A644" s="7" t="s">
        <v>2360</v>
      </c>
      <c r="B644" s="8" t="s">
        <v>2178</v>
      </c>
      <c r="C644" s="8" t="s">
        <v>2351</v>
      </c>
      <c r="D644" s="8" t="s">
        <v>2327</v>
      </c>
      <c r="E644" s="8" t="s">
        <v>2328</v>
      </c>
      <c r="F644" s="7" t="s">
        <v>36</v>
      </c>
      <c r="G644" s="7" t="s">
        <v>2284</v>
      </c>
      <c r="H644" s="9" t="s">
        <v>2285</v>
      </c>
      <c r="I644" s="8" t="s">
        <v>2361</v>
      </c>
      <c r="J644" s="7" t="n">
        <v>0.84</v>
      </c>
      <c r="K644" s="7"/>
      <c r="L644" s="7" t="s">
        <v>253</v>
      </c>
      <c r="M644" s="8"/>
      <c r="N644" s="7" t="s">
        <v>27</v>
      </c>
      <c r="O644" s="8" t="s">
        <v>2353</v>
      </c>
    </row>
    <row r="645" customFormat="false" ht="60" hidden="false" customHeight="true" outlineLevel="0" collapsed="false">
      <c r="A645" s="4" t="s">
        <v>2362</v>
      </c>
      <c r="B645" s="5" t="s">
        <v>2178</v>
      </c>
      <c r="C645" s="5" t="s">
        <v>2351</v>
      </c>
      <c r="D645" s="5" t="s">
        <v>2331</v>
      </c>
      <c r="E645" s="5" t="s">
        <v>2332</v>
      </c>
      <c r="F645" s="4" t="s">
        <v>67</v>
      </c>
      <c r="G645" s="4" t="s">
        <v>2284</v>
      </c>
      <c r="H645" s="6" t="s">
        <v>2285</v>
      </c>
      <c r="I645" s="5" t="s">
        <v>2363</v>
      </c>
      <c r="J645" s="4" t="n">
        <v>0.56</v>
      </c>
      <c r="K645" s="4"/>
      <c r="L645" s="4" t="s">
        <v>253</v>
      </c>
      <c r="M645" s="5"/>
      <c r="N645" s="4" t="s">
        <v>27</v>
      </c>
      <c r="O645" s="5" t="s">
        <v>2353</v>
      </c>
    </row>
    <row r="646" customFormat="false" ht="60" hidden="false" customHeight="true" outlineLevel="0" collapsed="false">
      <c r="A646" s="7" t="s">
        <v>2364</v>
      </c>
      <c r="B646" s="8" t="s">
        <v>2178</v>
      </c>
      <c r="C646" s="8" t="s">
        <v>2351</v>
      </c>
      <c r="D646" s="8" t="s">
        <v>2335</v>
      </c>
      <c r="E646" s="8" t="s">
        <v>2336</v>
      </c>
      <c r="F646" s="7" t="s">
        <v>53</v>
      </c>
      <c r="G646" s="7" t="s">
        <v>2284</v>
      </c>
      <c r="H646" s="9" t="s">
        <v>2285</v>
      </c>
      <c r="I646" s="8" t="s">
        <v>2365</v>
      </c>
      <c r="J646" s="7" t="n">
        <v>3.1</v>
      </c>
      <c r="K646" s="7"/>
      <c r="L646" s="7" t="s">
        <v>253</v>
      </c>
      <c r="M646" s="8"/>
      <c r="N646" s="7" t="s">
        <v>27</v>
      </c>
      <c r="O646" s="8" t="s">
        <v>2353</v>
      </c>
    </row>
    <row r="647" customFormat="false" ht="60" hidden="false" customHeight="true" outlineLevel="0" collapsed="false">
      <c r="A647" s="4" t="s">
        <v>2366</v>
      </c>
      <c r="B647" s="5" t="s">
        <v>2178</v>
      </c>
      <c r="C647" s="5" t="s">
        <v>2351</v>
      </c>
      <c r="D647" s="5" t="s">
        <v>2339</v>
      </c>
      <c r="E647" s="5" t="s">
        <v>2340</v>
      </c>
      <c r="F647" s="4" t="s">
        <v>58</v>
      </c>
      <c r="G647" s="4" t="s">
        <v>2284</v>
      </c>
      <c r="H647" s="6" t="s">
        <v>2285</v>
      </c>
      <c r="I647" s="5" t="s">
        <v>2367</v>
      </c>
      <c r="J647" s="4" t="n">
        <v>2.41</v>
      </c>
      <c r="K647" s="4"/>
      <c r="L647" s="4" t="s">
        <v>253</v>
      </c>
      <c r="M647" s="5"/>
      <c r="N647" s="4" t="s">
        <v>27</v>
      </c>
      <c r="O647" s="5" t="s">
        <v>2353</v>
      </c>
    </row>
    <row r="648" customFormat="false" ht="60" hidden="false" customHeight="true" outlineLevel="0" collapsed="false">
      <c r="A648" s="7" t="s">
        <v>2368</v>
      </c>
      <c r="B648" s="8" t="s">
        <v>2178</v>
      </c>
      <c r="C648" s="8" t="s">
        <v>2351</v>
      </c>
      <c r="D648" s="8" t="s">
        <v>2343</v>
      </c>
      <c r="E648" s="8" t="s">
        <v>2344</v>
      </c>
      <c r="F648" s="7" t="s">
        <v>67</v>
      </c>
      <c r="G648" s="7" t="s">
        <v>2284</v>
      </c>
      <c r="H648" s="9" t="s">
        <v>2285</v>
      </c>
      <c r="I648" s="8" t="s">
        <v>2369</v>
      </c>
      <c r="J648" s="7" t="n">
        <v>1.38</v>
      </c>
      <c r="K648" s="7"/>
      <c r="L648" s="7" t="s">
        <v>253</v>
      </c>
      <c r="M648" s="8"/>
      <c r="N648" s="7" t="s">
        <v>27</v>
      </c>
      <c r="O648" s="8" t="s">
        <v>2353</v>
      </c>
    </row>
    <row r="649" customFormat="false" ht="60" hidden="false" customHeight="true" outlineLevel="0" collapsed="false">
      <c r="A649" s="4" t="s">
        <v>2370</v>
      </c>
      <c r="B649" s="5" t="s">
        <v>2178</v>
      </c>
      <c r="C649" s="5" t="s">
        <v>2351</v>
      </c>
      <c r="D649" s="5" t="s">
        <v>2347</v>
      </c>
      <c r="E649" s="5" t="s">
        <v>2348</v>
      </c>
      <c r="F649" s="4" t="s">
        <v>76</v>
      </c>
      <c r="G649" s="4" t="s">
        <v>2284</v>
      </c>
      <c r="H649" s="6" t="s">
        <v>2285</v>
      </c>
      <c r="I649" s="5" t="s">
        <v>2371</v>
      </c>
      <c r="J649" s="4" t="n">
        <v>0.92</v>
      </c>
      <c r="K649" s="4"/>
      <c r="L649" s="4" t="s">
        <v>253</v>
      </c>
      <c r="M649" s="5"/>
      <c r="N649" s="4" t="s">
        <v>27</v>
      </c>
      <c r="O649" s="5" t="s">
        <v>2353</v>
      </c>
    </row>
    <row r="650" customFormat="false" ht="60" hidden="false" customHeight="true" outlineLevel="0" collapsed="false">
      <c r="A650" s="7" t="s">
        <v>2372</v>
      </c>
      <c r="B650" s="8" t="s">
        <v>2373</v>
      </c>
      <c r="C650" s="8" t="s">
        <v>2374</v>
      </c>
      <c r="D650" s="8" t="s">
        <v>2375</v>
      </c>
      <c r="E650" s="8" t="s">
        <v>2376</v>
      </c>
      <c r="F650" s="7" t="s">
        <v>22</v>
      </c>
      <c r="G650" s="7" t="s">
        <v>2284</v>
      </c>
      <c r="H650" s="9" t="s">
        <v>2285</v>
      </c>
      <c r="I650" s="8" t="s">
        <v>2377</v>
      </c>
      <c r="J650" s="7" t="n">
        <v>1.72</v>
      </c>
      <c r="K650" s="7"/>
      <c r="L650" s="7" t="s">
        <v>26</v>
      </c>
      <c r="M650" s="8"/>
      <c r="N650" s="7" t="s">
        <v>27</v>
      </c>
      <c r="O650" s="8" t="s">
        <v>2378</v>
      </c>
    </row>
    <row r="651" customFormat="false" ht="60" hidden="false" customHeight="true" outlineLevel="0" collapsed="false">
      <c r="A651" s="4" t="s">
        <v>2379</v>
      </c>
      <c r="B651" s="5" t="s">
        <v>2373</v>
      </c>
      <c r="C651" s="5" t="s">
        <v>2374</v>
      </c>
      <c r="D651" s="5" t="s">
        <v>2380</v>
      </c>
      <c r="E651" s="5" t="s">
        <v>2381</v>
      </c>
      <c r="F651" s="4" t="s">
        <v>22</v>
      </c>
      <c r="G651" s="4" t="s">
        <v>2284</v>
      </c>
      <c r="H651" s="6" t="s">
        <v>2285</v>
      </c>
      <c r="I651" s="5" t="s">
        <v>2382</v>
      </c>
      <c r="J651" s="4" t="n">
        <v>1.38</v>
      </c>
      <c r="K651" s="4"/>
      <c r="L651" s="4" t="s">
        <v>26</v>
      </c>
      <c r="M651" s="5"/>
      <c r="N651" s="4" t="s">
        <v>27</v>
      </c>
      <c r="O651" s="5" t="s">
        <v>2378</v>
      </c>
    </row>
    <row r="652" customFormat="false" ht="60" hidden="false" customHeight="true" outlineLevel="0" collapsed="false">
      <c r="A652" s="7" t="s">
        <v>2383</v>
      </c>
      <c r="B652" s="8" t="s">
        <v>2373</v>
      </c>
      <c r="C652" s="8" t="s">
        <v>2374</v>
      </c>
      <c r="D652" s="8" t="s">
        <v>2384</v>
      </c>
      <c r="E652" s="8" t="s">
        <v>2385</v>
      </c>
      <c r="F652" s="7" t="s">
        <v>36</v>
      </c>
      <c r="G652" s="7" t="s">
        <v>2284</v>
      </c>
      <c r="H652" s="9" t="s">
        <v>2285</v>
      </c>
      <c r="I652" s="8" t="s">
        <v>2386</v>
      </c>
      <c r="J652" s="7" t="n">
        <v>1.49</v>
      </c>
      <c r="K652" s="7"/>
      <c r="L652" s="7" t="s">
        <v>26</v>
      </c>
      <c r="M652" s="8"/>
      <c r="N652" s="7" t="s">
        <v>27</v>
      </c>
      <c r="O652" s="8" t="s">
        <v>2378</v>
      </c>
    </row>
    <row r="653" customFormat="false" ht="60" hidden="false" customHeight="true" outlineLevel="0" collapsed="false">
      <c r="A653" s="4" t="s">
        <v>2387</v>
      </c>
      <c r="B653" s="5" t="s">
        <v>2373</v>
      </c>
      <c r="C653" s="5" t="s">
        <v>2374</v>
      </c>
      <c r="D653" s="5" t="s">
        <v>2388</v>
      </c>
      <c r="E653" s="5" t="s">
        <v>2389</v>
      </c>
      <c r="F653" s="4" t="s">
        <v>36</v>
      </c>
      <c r="G653" s="4" t="s">
        <v>2284</v>
      </c>
      <c r="H653" s="6" t="s">
        <v>2285</v>
      </c>
      <c r="I653" s="5" t="s">
        <v>2390</v>
      </c>
      <c r="J653" s="4" t="n">
        <v>4.01</v>
      </c>
      <c r="K653" s="4"/>
      <c r="L653" s="4" t="s">
        <v>26</v>
      </c>
      <c r="M653" s="5"/>
      <c r="N653" s="4" t="s">
        <v>27</v>
      </c>
      <c r="O653" s="5" t="s">
        <v>2378</v>
      </c>
    </row>
    <row r="654" customFormat="false" ht="60" hidden="false" customHeight="true" outlineLevel="0" collapsed="false">
      <c r="A654" s="7" t="s">
        <v>2391</v>
      </c>
      <c r="B654" s="8" t="s">
        <v>2373</v>
      </c>
      <c r="C654" s="8" t="s">
        <v>2374</v>
      </c>
      <c r="D654" s="8" t="s">
        <v>2392</v>
      </c>
      <c r="E654" s="8" t="s">
        <v>2393</v>
      </c>
      <c r="F654" s="7" t="s">
        <v>36</v>
      </c>
      <c r="G654" s="7" t="s">
        <v>2284</v>
      </c>
      <c r="H654" s="9" t="s">
        <v>2285</v>
      </c>
      <c r="I654" s="8" t="s">
        <v>2394</v>
      </c>
      <c r="J654" s="7" t="n">
        <v>1.72</v>
      </c>
      <c r="K654" s="7"/>
      <c r="L654" s="7" t="s">
        <v>26</v>
      </c>
      <c r="M654" s="8"/>
      <c r="N654" s="7" t="s">
        <v>27</v>
      </c>
      <c r="O654" s="8" t="s">
        <v>2378</v>
      </c>
    </row>
    <row r="655" customFormat="false" ht="60" hidden="false" customHeight="true" outlineLevel="0" collapsed="false">
      <c r="A655" s="4" t="s">
        <v>2395</v>
      </c>
      <c r="B655" s="5" t="s">
        <v>2373</v>
      </c>
      <c r="C655" s="5" t="s">
        <v>2374</v>
      </c>
      <c r="D655" s="5" t="s">
        <v>2396</v>
      </c>
      <c r="E655" s="5" t="s">
        <v>2397</v>
      </c>
      <c r="F655" s="4" t="s">
        <v>67</v>
      </c>
      <c r="G655" s="4" t="s">
        <v>2284</v>
      </c>
      <c r="H655" s="6" t="s">
        <v>2285</v>
      </c>
      <c r="I655" s="5" t="s">
        <v>2398</v>
      </c>
      <c r="J655" s="4" t="n">
        <v>1.15</v>
      </c>
      <c r="K655" s="4"/>
      <c r="L655" s="4" t="s">
        <v>26</v>
      </c>
      <c r="M655" s="5"/>
      <c r="N655" s="4" t="s">
        <v>27</v>
      </c>
      <c r="O655" s="5" t="s">
        <v>2378</v>
      </c>
    </row>
    <row r="656" customFormat="false" ht="60" hidden="false" customHeight="true" outlineLevel="0" collapsed="false">
      <c r="A656" s="7" t="s">
        <v>2399</v>
      </c>
      <c r="B656" s="8" t="s">
        <v>2373</v>
      </c>
      <c r="C656" s="8" t="s">
        <v>2374</v>
      </c>
      <c r="D656" s="8" t="s">
        <v>2400</v>
      </c>
      <c r="E656" s="8" t="s">
        <v>2401</v>
      </c>
      <c r="F656" s="7" t="s">
        <v>53</v>
      </c>
      <c r="G656" s="7" t="s">
        <v>2284</v>
      </c>
      <c r="H656" s="9" t="s">
        <v>2285</v>
      </c>
      <c r="I656" s="8" t="s">
        <v>2402</v>
      </c>
      <c r="J656" s="7" t="n">
        <v>0.58</v>
      </c>
      <c r="K656" s="7"/>
      <c r="L656" s="7" t="s">
        <v>26</v>
      </c>
      <c r="M656" s="8"/>
      <c r="N656" s="7" t="s">
        <v>27</v>
      </c>
      <c r="O656" s="8" t="s">
        <v>2378</v>
      </c>
    </row>
    <row r="657" customFormat="false" ht="60" hidden="false" customHeight="true" outlineLevel="0" collapsed="false">
      <c r="A657" s="4" t="s">
        <v>2403</v>
      </c>
      <c r="B657" s="5" t="s">
        <v>2373</v>
      </c>
      <c r="C657" s="5" t="s">
        <v>2374</v>
      </c>
      <c r="D657" s="5" t="s">
        <v>2404</v>
      </c>
      <c r="E657" s="5" t="s">
        <v>2405</v>
      </c>
      <c r="F657" s="4" t="s">
        <v>58</v>
      </c>
      <c r="G657" s="4" t="s">
        <v>2284</v>
      </c>
      <c r="H657" s="6" t="s">
        <v>2285</v>
      </c>
      <c r="I657" s="5" t="s">
        <v>2406</v>
      </c>
      <c r="J657" s="4" t="n">
        <v>0.45</v>
      </c>
      <c r="K657" s="4"/>
      <c r="L657" s="4" t="s">
        <v>26</v>
      </c>
      <c r="M657" s="5"/>
      <c r="N657" s="4" t="s">
        <v>27</v>
      </c>
      <c r="O657" s="5" t="s">
        <v>2378</v>
      </c>
    </row>
    <row r="658" customFormat="false" ht="60" hidden="false" customHeight="true" outlineLevel="0" collapsed="false">
      <c r="A658" s="7" t="s">
        <v>2407</v>
      </c>
      <c r="B658" s="8" t="s">
        <v>2373</v>
      </c>
      <c r="C658" s="8" t="s">
        <v>2374</v>
      </c>
      <c r="D658" s="8" t="s">
        <v>2408</v>
      </c>
      <c r="E658" s="8" t="s">
        <v>2409</v>
      </c>
      <c r="F658" s="7" t="s">
        <v>67</v>
      </c>
      <c r="G658" s="7" t="s">
        <v>2284</v>
      </c>
      <c r="H658" s="9" t="s">
        <v>2285</v>
      </c>
      <c r="I658" s="8" t="s">
        <v>2410</v>
      </c>
      <c r="J658" s="7" t="n">
        <v>0.26</v>
      </c>
      <c r="K658" s="7"/>
      <c r="L658" s="7" t="s">
        <v>26</v>
      </c>
      <c r="M658" s="8"/>
      <c r="N658" s="7" t="s">
        <v>27</v>
      </c>
      <c r="O658" s="8" t="s">
        <v>2378</v>
      </c>
    </row>
    <row r="659" customFormat="false" ht="60" hidden="false" customHeight="true" outlineLevel="0" collapsed="false">
      <c r="A659" s="4" t="s">
        <v>2411</v>
      </c>
      <c r="B659" s="5" t="s">
        <v>2373</v>
      </c>
      <c r="C659" s="5" t="s">
        <v>2374</v>
      </c>
      <c r="D659" s="5" t="s">
        <v>2412</v>
      </c>
      <c r="E659" s="5" t="s">
        <v>2413</v>
      </c>
      <c r="F659" s="4" t="s">
        <v>76</v>
      </c>
      <c r="G659" s="4" t="s">
        <v>2284</v>
      </c>
      <c r="H659" s="6" t="s">
        <v>2285</v>
      </c>
      <c r="I659" s="5" t="s">
        <v>2414</v>
      </c>
      <c r="J659" s="4" t="n">
        <v>0.76</v>
      </c>
      <c r="K659" s="4"/>
      <c r="L659" s="4" t="s">
        <v>26</v>
      </c>
      <c r="M659" s="5"/>
      <c r="N659" s="4" t="s">
        <v>27</v>
      </c>
      <c r="O659" s="5" t="s">
        <v>2378</v>
      </c>
    </row>
    <row r="660" customFormat="false" ht="60" hidden="false" customHeight="true" outlineLevel="0" collapsed="false">
      <c r="A660" s="7" t="s">
        <v>2415</v>
      </c>
      <c r="B660" s="8" t="s">
        <v>2373</v>
      </c>
      <c r="C660" s="8" t="s">
        <v>2416</v>
      </c>
      <c r="D660" s="8" t="s">
        <v>2417</v>
      </c>
      <c r="E660" s="8" t="s">
        <v>2418</v>
      </c>
      <c r="F660" s="7" t="s">
        <v>22</v>
      </c>
      <c r="G660" s="7" t="s">
        <v>2419</v>
      </c>
      <c r="H660" s="9" t="s">
        <v>2420</v>
      </c>
      <c r="I660" s="8" t="s">
        <v>2421</v>
      </c>
      <c r="J660" s="7" t="n">
        <v>0.84</v>
      </c>
      <c r="K660" s="7"/>
      <c r="L660" s="7" t="s">
        <v>26</v>
      </c>
      <c r="M660" s="8"/>
      <c r="N660" s="7" t="s">
        <v>27</v>
      </c>
      <c r="O660" s="8" t="s">
        <v>2422</v>
      </c>
    </row>
    <row r="661" customFormat="false" ht="60" hidden="false" customHeight="true" outlineLevel="0" collapsed="false">
      <c r="A661" s="4" t="s">
        <v>2423</v>
      </c>
      <c r="B661" s="5" t="s">
        <v>2373</v>
      </c>
      <c r="C661" s="5" t="s">
        <v>2416</v>
      </c>
      <c r="D661" s="5" t="s">
        <v>2424</v>
      </c>
      <c r="E661" s="5" t="s">
        <v>2425</v>
      </c>
      <c r="F661" s="4" t="s">
        <v>22</v>
      </c>
      <c r="G661" s="4" t="s">
        <v>2419</v>
      </c>
      <c r="H661" s="6" t="s">
        <v>2420</v>
      </c>
      <c r="I661" s="5" t="s">
        <v>2426</v>
      </c>
      <c r="J661" s="4" t="n">
        <v>0.67</v>
      </c>
      <c r="K661" s="4"/>
      <c r="L661" s="4" t="s">
        <v>26</v>
      </c>
      <c r="M661" s="5"/>
      <c r="N661" s="4" t="s">
        <v>27</v>
      </c>
      <c r="O661" s="5" t="s">
        <v>2422</v>
      </c>
    </row>
    <row r="662" customFormat="false" ht="60" hidden="false" customHeight="true" outlineLevel="0" collapsed="false">
      <c r="A662" s="7" t="s">
        <v>2427</v>
      </c>
      <c r="B662" s="8" t="s">
        <v>2373</v>
      </c>
      <c r="C662" s="8" t="s">
        <v>2416</v>
      </c>
      <c r="D662" s="8" t="s">
        <v>2428</v>
      </c>
      <c r="E662" s="8" t="s">
        <v>2429</v>
      </c>
      <c r="F662" s="7" t="s">
        <v>36</v>
      </c>
      <c r="G662" s="7" t="s">
        <v>2419</v>
      </c>
      <c r="H662" s="9" t="s">
        <v>2420</v>
      </c>
      <c r="I662" s="8" t="s">
        <v>2430</v>
      </c>
      <c r="J662" s="7" t="n">
        <v>0.73</v>
      </c>
      <c r="K662" s="7"/>
      <c r="L662" s="7" t="s">
        <v>26</v>
      </c>
      <c r="M662" s="8"/>
      <c r="N662" s="7" t="s">
        <v>27</v>
      </c>
      <c r="O662" s="8" t="s">
        <v>2422</v>
      </c>
    </row>
    <row r="663" customFormat="false" ht="60" hidden="false" customHeight="true" outlineLevel="0" collapsed="false">
      <c r="A663" s="4" t="s">
        <v>2431</v>
      </c>
      <c r="B663" s="5" t="s">
        <v>2373</v>
      </c>
      <c r="C663" s="5" t="s">
        <v>2416</v>
      </c>
      <c r="D663" s="5" t="s">
        <v>2432</v>
      </c>
      <c r="E663" s="5" t="s">
        <v>2433</v>
      </c>
      <c r="F663" s="4" t="s">
        <v>36</v>
      </c>
      <c r="G663" s="4" t="s">
        <v>2419</v>
      </c>
      <c r="H663" s="6" t="s">
        <v>2420</v>
      </c>
      <c r="I663" s="5" t="s">
        <v>2434</v>
      </c>
      <c r="J663" s="4" t="n">
        <v>1.96</v>
      </c>
      <c r="K663" s="4"/>
      <c r="L663" s="4" t="s">
        <v>26</v>
      </c>
      <c r="M663" s="5"/>
      <c r="N663" s="4" t="s">
        <v>27</v>
      </c>
      <c r="O663" s="5" t="s">
        <v>2422</v>
      </c>
    </row>
    <row r="664" customFormat="false" ht="60" hidden="false" customHeight="true" outlineLevel="0" collapsed="false">
      <c r="A664" s="7" t="s">
        <v>2435</v>
      </c>
      <c r="B664" s="8" t="s">
        <v>2373</v>
      </c>
      <c r="C664" s="8" t="s">
        <v>2416</v>
      </c>
      <c r="D664" s="8" t="s">
        <v>2436</v>
      </c>
      <c r="E664" s="8" t="s">
        <v>2437</v>
      </c>
      <c r="F664" s="7" t="s">
        <v>36</v>
      </c>
      <c r="G664" s="7" t="s">
        <v>2419</v>
      </c>
      <c r="H664" s="9" t="s">
        <v>2420</v>
      </c>
      <c r="I664" s="8" t="s">
        <v>2438</v>
      </c>
      <c r="J664" s="7" t="n">
        <v>0.84</v>
      </c>
      <c r="K664" s="7"/>
      <c r="L664" s="7" t="s">
        <v>26</v>
      </c>
      <c r="M664" s="8"/>
      <c r="N664" s="7" t="s">
        <v>27</v>
      </c>
      <c r="O664" s="8" t="s">
        <v>2422</v>
      </c>
    </row>
    <row r="665" customFormat="false" ht="60" hidden="false" customHeight="true" outlineLevel="0" collapsed="false">
      <c r="A665" s="4" t="s">
        <v>2439</v>
      </c>
      <c r="B665" s="5" t="s">
        <v>2373</v>
      </c>
      <c r="C665" s="5" t="s">
        <v>2416</v>
      </c>
      <c r="D665" s="5" t="s">
        <v>2440</v>
      </c>
      <c r="E665" s="5" t="s">
        <v>2441</v>
      </c>
      <c r="F665" s="4" t="s">
        <v>67</v>
      </c>
      <c r="G665" s="4" t="s">
        <v>2419</v>
      </c>
      <c r="H665" s="6" t="s">
        <v>2420</v>
      </c>
      <c r="I665" s="5" t="s">
        <v>2442</v>
      </c>
      <c r="J665" s="4" t="n">
        <v>0.56</v>
      </c>
      <c r="K665" s="4"/>
      <c r="L665" s="4" t="s">
        <v>26</v>
      </c>
      <c r="M665" s="5"/>
      <c r="N665" s="4" t="s">
        <v>27</v>
      </c>
      <c r="O665" s="5" t="s">
        <v>2422</v>
      </c>
    </row>
    <row r="666" customFormat="false" ht="60" hidden="false" customHeight="true" outlineLevel="0" collapsed="false">
      <c r="A666" s="7" t="s">
        <v>2443</v>
      </c>
      <c r="B666" s="8" t="s">
        <v>2373</v>
      </c>
      <c r="C666" s="8" t="s">
        <v>2416</v>
      </c>
      <c r="D666" s="8" t="s">
        <v>2444</v>
      </c>
      <c r="E666" s="8" t="s">
        <v>2445</v>
      </c>
      <c r="F666" s="7" t="s">
        <v>53</v>
      </c>
      <c r="G666" s="7" t="s">
        <v>2419</v>
      </c>
      <c r="H666" s="9" t="s">
        <v>2420</v>
      </c>
      <c r="I666" s="8" t="s">
        <v>2446</v>
      </c>
      <c r="J666" s="7" t="n">
        <v>3.1</v>
      </c>
      <c r="K666" s="7"/>
      <c r="L666" s="7" t="s">
        <v>26</v>
      </c>
      <c r="M666" s="8"/>
      <c r="N666" s="7" t="s">
        <v>27</v>
      </c>
      <c r="O666" s="8" t="s">
        <v>2422</v>
      </c>
    </row>
    <row r="667" customFormat="false" ht="60" hidden="false" customHeight="true" outlineLevel="0" collapsed="false">
      <c r="A667" s="4" t="s">
        <v>2447</v>
      </c>
      <c r="B667" s="5" t="s">
        <v>2373</v>
      </c>
      <c r="C667" s="5" t="s">
        <v>2416</v>
      </c>
      <c r="D667" s="5" t="s">
        <v>2448</v>
      </c>
      <c r="E667" s="5" t="s">
        <v>2449</v>
      </c>
      <c r="F667" s="4" t="s">
        <v>58</v>
      </c>
      <c r="G667" s="4" t="s">
        <v>2419</v>
      </c>
      <c r="H667" s="6" t="s">
        <v>2420</v>
      </c>
      <c r="I667" s="5" t="s">
        <v>2450</v>
      </c>
      <c r="J667" s="4" t="n">
        <v>2.41</v>
      </c>
      <c r="K667" s="4"/>
      <c r="L667" s="4" t="s">
        <v>26</v>
      </c>
      <c r="M667" s="5"/>
      <c r="N667" s="4" t="s">
        <v>27</v>
      </c>
      <c r="O667" s="5" t="s">
        <v>2422</v>
      </c>
    </row>
    <row r="668" customFormat="false" ht="60" hidden="false" customHeight="true" outlineLevel="0" collapsed="false">
      <c r="A668" s="7" t="s">
        <v>2451</v>
      </c>
      <c r="B668" s="8" t="s">
        <v>2373</v>
      </c>
      <c r="C668" s="8" t="s">
        <v>2416</v>
      </c>
      <c r="D668" s="8" t="s">
        <v>2452</v>
      </c>
      <c r="E668" s="8" t="s">
        <v>2453</v>
      </c>
      <c r="F668" s="7" t="s">
        <v>67</v>
      </c>
      <c r="G668" s="7" t="s">
        <v>2419</v>
      </c>
      <c r="H668" s="9" t="s">
        <v>2420</v>
      </c>
      <c r="I668" s="8" t="s">
        <v>2454</v>
      </c>
      <c r="J668" s="7" t="n">
        <v>1.38</v>
      </c>
      <c r="K668" s="7"/>
      <c r="L668" s="7" t="s">
        <v>26</v>
      </c>
      <c r="M668" s="8"/>
      <c r="N668" s="7" t="s">
        <v>27</v>
      </c>
      <c r="O668" s="8" t="s">
        <v>2422</v>
      </c>
    </row>
    <row r="669" customFormat="false" ht="60" hidden="false" customHeight="true" outlineLevel="0" collapsed="false">
      <c r="A669" s="4" t="s">
        <v>2455</v>
      </c>
      <c r="B669" s="5" t="s">
        <v>2373</v>
      </c>
      <c r="C669" s="5" t="s">
        <v>2416</v>
      </c>
      <c r="D669" s="5" t="s">
        <v>2456</v>
      </c>
      <c r="E669" s="5" t="s">
        <v>2457</v>
      </c>
      <c r="F669" s="4" t="s">
        <v>76</v>
      </c>
      <c r="G669" s="4" t="s">
        <v>2419</v>
      </c>
      <c r="H669" s="6" t="s">
        <v>2420</v>
      </c>
      <c r="I669" s="5" t="s">
        <v>2458</v>
      </c>
      <c r="J669" s="4" t="n">
        <v>0.92</v>
      </c>
      <c r="K669" s="4"/>
      <c r="L669" s="4" t="s">
        <v>26</v>
      </c>
      <c r="M669" s="5"/>
      <c r="N669" s="4" t="s">
        <v>27</v>
      </c>
      <c r="O669" s="5" t="s">
        <v>2422</v>
      </c>
    </row>
    <row r="670" customFormat="false" ht="60" hidden="false" customHeight="true" outlineLevel="0" collapsed="false">
      <c r="A670" s="7" t="s">
        <v>2459</v>
      </c>
      <c r="B670" s="8" t="s">
        <v>2373</v>
      </c>
      <c r="C670" s="8" t="s">
        <v>2460</v>
      </c>
      <c r="D670" s="8" t="s">
        <v>294</v>
      </c>
      <c r="E670" s="8" t="s">
        <v>2461</v>
      </c>
      <c r="F670" s="7" t="s">
        <v>22</v>
      </c>
      <c r="G670" s="7" t="s">
        <v>2419</v>
      </c>
      <c r="H670" s="9" t="s">
        <v>2420</v>
      </c>
      <c r="I670" s="8" t="s">
        <v>2462</v>
      </c>
      <c r="J670" s="7" t="n">
        <v>0.67</v>
      </c>
      <c r="K670" s="7"/>
      <c r="L670" s="7" t="s">
        <v>253</v>
      </c>
      <c r="M670" s="8"/>
      <c r="N670" s="7" t="s">
        <v>27</v>
      </c>
      <c r="O670" s="8" t="s">
        <v>2463</v>
      </c>
    </row>
    <row r="671" customFormat="false" ht="60" hidden="false" customHeight="true" outlineLevel="0" collapsed="false">
      <c r="A671" s="4" t="s">
        <v>2464</v>
      </c>
      <c r="B671" s="5" t="s">
        <v>2373</v>
      </c>
      <c r="C671" s="5" t="s">
        <v>2460</v>
      </c>
      <c r="D671" s="5" t="s">
        <v>299</v>
      </c>
      <c r="E671" s="5" t="s">
        <v>2465</v>
      </c>
      <c r="F671" s="4" t="s">
        <v>22</v>
      </c>
      <c r="G671" s="4" t="s">
        <v>2419</v>
      </c>
      <c r="H671" s="6" t="s">
        <v>2420</v>
      </c>
      <c r="I671" s="5" t="s">
        <v>2466</v>
      </c>
      <c r="J671" s="4" t="n">
        <v>0.54</v>
      </c>
      <c r="K671" s="4"/>
      <c r="L671" s="4" t="s">
        <v>253</v>
      </c>
      <c r="M671" s="5"/>
      <c r="N671" s="4" t="s">
        <v>27</v>
      </c>
      <c r="O671" s="5" t="s">
        <v>2463</v>
      </c>
    </row>
    <row r="672" customFormat="false" ht="60" hidden="false" customHeight="true" outlineLevel="0" collapsed="false">
      <c r="A672" s="7" t="s">
        <v>2467</v>
      </c>
      <c r="B672" s="8" t="s">
        <v>2373</v>
      </c>
      <c r="C672" s="8" t="s">
        <v>2460</v>
      </c>
      <c r="D672" s="8" t="s">
        <v>303</v>
      </c>
      <c r="E672" s="8" t="s">
        <v>2468</v>
      </c>
      <c r="F672" s="7" t="s">
        <v>36</v>
      </c>
      <c r="G672" s="7" t="s">
        <v>2419</v>
      </c>
      <c r="H672" s="9" t="s">
        <v>2420</v>
      </c>
      <c r="I672" s="8" t="s">
        <v>2469</v>
      </c>
      <c r="J672" s="7" t="n">
        <v>0.58</v>
      </c>
      <c r="K672" s="7"/>
      <c r="L672" s="7" t="s">
        <v>253</v>
      </c>
      <c r="M672" s="8"/>
      <c r="N672" s="7" t="s">
        <v>27</v>
      </c>
      <c r="O672" s="8" t="s">
        <v>2463</v>
      </c>
    </row>
    <row r="673" customFormat="false" ht="60" hidden="false" customHeight="true" outlineLevel="0" collapsed="false">
      <c r="A673" s="4" t="s">
        <v>2470</v>
      </c>
      <c r="B673" s="5" t="s">
        <v>2373</v>
      </c>
      <c r="C673" s="5" t="s">
        <v>2460</v>
      </c>
      <c r="D673" s="5" t="s">
        <v>2471</v>
      </c>
      <c r="E673" s="5" t="s">
        <v>2472</v>
      </c>
      <c r="F673" s="4" t="s">
        <v>36</v>
      </c>
      <c r="G673" s="4" t="s">
        <v>2419</v>
      </c>
      <c r="H673" s="6" t="s">
        <v>2420</v>
      </c>
      <c r="I673" s="5" t="s">
        <v>2473</v>
      </c>
      <c r="J673" s="4" t="n">
        <v>1.57</v>
      </c>
      <c r="K673" s="4"/>
      <c r="L673" s="4" t="s">
        <v>253</v>
      </c>
      <c r="M673" s="5"/>
      <c r="N673" s="4" t="s">
        <v>27</v>
      </c>
      <c r="O673" s="5" t="s">
        <v>2463</v>
      </c>
    </row>
    <row r="674" customFormat="false" ht="60" hidden="false" customHeight="true" outlineLevel="0" collapsed="false">
      <c r="A674" s="7" t="s">
        <v>2474</v>
      </c>
      <c r="B674" s="8" t="s">
        <v>2373</v>
      </c>
      <c r="C674" s="8" t="s">
        <v>2460</v>
      </c>
      <c r="D674" s="8" t="s">
        <v>2475</v>
      </c>
      <c r="E674" s="8" t="s">
        <v>2476</v>
      </c>
      <c r="F674" s="7" t="s">
        <v>36</v>
      </c>
      <c r="G674" s="7" t="s">
        <v>2419</v>
      </c>
      <c r="H674" s="9" t="s">
        <v>2420</v>
      </c>
      <c r="I674" s="8" t="s">
        <v>2477</v>
      </c>
      <c r="J674" s="7" t="n">
        <v>0.67</v>
      </c>
      <c r="K674" s="7"/>
      <c r="L674" s="7" t="s">
        <v>253</v>
      </c>
      <c r="M674" s="8"/>
      <c r="N674" s="7" t="s">
        <v>27</v>
      </c>
      <c r="O674" s="8" t="s">
        <v>2463</v>
      </c>
    </row>
    <row r="675" customFormat="false" ht="60" hidden="false" customHeight="true" outlineLevel="0" collapsed="false">
      <c r="A675" s="4" t="s">
        <v>2478</v>
      </c>
      <c r="B675" s="5" t="s">
        <v>2373</v>
      </c>
      <c r="C675" s="5" t="s">
        <v>2460</v>
      </c>
      <c r="D675" s="5" t="s">
        <v>2479</v>
      </c>
      <c r="E675" s="5" t="s">
        <v>2480</v>
      </c>
      <c r="F675" s="4" t="s">
        <v>67</v>
      </c>
      <c r="G675" s="4" t="s">
        <v>2419</v>
      </c>
      <c r="H675" s="6" t="s">
        <v>2420</v>
      </c>
      <c r="I675" s="5" t="s">
        <v>2481</v>
      </c>
      <c r="J675" s="4" t="n">
        <v>0.45</v>
      </c>
      <c r="K675" s="4"/>
      <c r="L675" s="4" t="s">
        <v>253</v>
      </c>
      <c r="M675" s="5"/>
      <c r="N675" s="4" t="s">
        <v>27</v>
      </c>
      <c r="O675" s="5" t="s">
        <v>2463</v>
      </c>
    </row>
    <row r="676" customFormat="false" ht="60" hidden="false" customHeight="true" outlineLevel="0" collapsed="false">
      <c r="A676" s="7" t="s">
        <v>2482</v>
      </c>
      <c r="B676" s="8" t="s">
        <v>2373</v>
      </c>
      <c r="C676" s="8" t="s">
        <v>2460</v>
      </c>
      <c r="D676" s="8" t="s">
        <v>2483</v>
      </c>
      <c r="E676" s="8" t="s">
        <v>2484</v>
      </c>
      <c r="F676" s="7" t="s">
        <v>53</v>
      </c>
      <c r="G676" s="7" t="s">
        <v>2419</v>
      </c>
      <c r="H676" s="9" t="s">
        <v>2420</v>
      </c>
      <c r="I676" s="8" t="s">
        <v>2485</v>
      </c>
      <c r="J676" s="7" t="n">
        <v>2.48</v>
      </c>
      <c r="K676" s="7"/>
      <c r="L676" s="7" t="s">
        <v>253</v>
      </c>
      <c r="M676" s="8"/>
      <c r="N676" s="7" t="s">
        <v>27</v>
      </c>
      <c r="O676" s="8" t="s">
        <v>2463</v>
      </c>
    </row>
    <row r="677" customFormat="false" ht="60" hidden="false" customHeight="true" outlineLevel="0" collapsed="false">
      <c r="A677" s="4" t="s">
        <v>2486</v>
      </c>
      <c r="B677" s="5" t="s">
        <v>2373</v>
      </c>
      <c r="C677" s="5" t="s">
        <v>2460</v>
      </c>
      <c r="D677" s="5" t="s">
        <v>2487</v>
      </c>
      <c r="E677" s="5" t="s">
        <v>2488</v>
      </c>
      <c r="F677" s="4" t="s">
        <v>58</v>
      </c>
      <c r="G677" s="4" t="s">
        <v>2419</v>
      </c>
      <c r="H677" s="6" t="s">
        <v>2420</v>
      </c>
      <c r="I677" s="5" t="s">
        <v>2489</v>
      </c>
      <c r="J677" s="4" t="n">
        <v>1.93</v>
      </c>
      <c r="K677" s="4"/>
      <c r="L677" s="4" t="s">
        <v>253</v>
      </c>
      <c r="M677" s="5"/>
      <c r="N677" s="4" t="s">
        <v>27</v>
      </c>
      <c r="O677" s="5" t="s">
        <v>2463</v>
      </c>
    </row>
    <row r="678" customFormat="false" ht="60" hidden="false" customHeight="true" outlineLevel="0" collapsed="false">
      <c r="A678" s="7" t="s">
        <v>2490</v>
      </c>
      <c r="B678" s="8" t="s">
        <v>2373</v>
      </c>
      <c r="C678" s="8" t="s">
        <v>2460</v>
      </c>
      <c r="D678" s="8" t="s">
        <v>2491</v>
      </c>
      <c r="E678" s="8" t="s">
        <v>2492</v>
      </c>
      <c r="F678" s="7" t="s">
        <v>67</v>
      </c>
      <c r="G678" s="7" t="s">
        <v>2419</v>
      </c>
      <c r="H678" s="9" t="s">
        <v>2420</v>
      </c>
      <c r="I678" s="8" t="s">
        <v>2493</v>
      </c>
      <c r="J678" s="7" t="n">
        <v>1.1</v>
      </c>
      <c r="K678" s="7"/>
      <c r="L678" s="7" t="s">
        <v>253</v>
      </c>
      <c r="M678" s="8"/>
      <c r="N678" s="7" t="s">
        <v>27</v>
      </c>
      <c r="O678" s="8" t="s">
        <v>2463</v>
      </c>
    </row>
    <row r="679" customFormat="false" ht="60" hidden="false" customHeight="true" outlineLevel="0" collapsed="false">
      <c r="A679" s="4" t="s">
        <v>2494</v>
      </c>
      <c r="B679" s="5" t="s">
        <v>2373</v>
      </c>
      <c r="C679" s="5" t="s">
        <v>2460</v>
      </c>
      <c r="D679" s="5" t="s">
        <v>2495</v>
      </c>
      <c r="E679" s="5" t="s">
        <v>2496</v>
      </c>
      <c r="F679" s="4" t="s">
        <v>76</v>
      </c>
      <c r="G679" s="4" t="s">
        <v>2419</v>
      </c>
      <c r="H679" s="6" t="s">
        <v>2420</v>
      </c>
      <c r="I679" s="5" t="s">
        <v>2497</v>
      </c>
      <c r="J679" s="4" t="n">
        <v>0.73</v>
      </c>
      <c r="K679" s="4"/>
      <c r="L679" s="4" t="s">
        <v>253</v>
      </c>
      <c r="M679" s="5"/>
      <c r="N679" s="4" t="s">
        <v>27</v>
      </c>
      <c r="O679" s="5" t="s">
        <v>2463</v>
      </c>
    </row>
    <row r="680" customFormat="false" ht="60" hidden="false" customHeight="true" outlineLevel="0" collapsed="false">
      <c r="A680" s="7" t="s">
        <v>2498</v>
      </c>
      <c r="B680" s="8" t="s">
        <v>2499</v>
      </c>
      <c r="C680" s="8" t="s">
        <v>2500</v>
      </c>
      <c r="D680" s="8" t="s">
        <v>206</v>
      </c>
      <c r="E680" s="8" t="s">
        <v>207</v>
      </c>
      <c r="F680" s="7" t="s">
        <v>22</v>
      </c>
      <c r="G680" s="7" t="s">
        <v>2501</v>
      </c>
      <c r="H680" s="9" t="s">
        <v>2502</v>
      </c>
      <c r="I680" s="8" t="s">
        <v>296</v>
      </c>
      <c r="J680" s="7" t="n">
        <v>1.92</v>
      </c>
      <c r="K680" s="7"/>
      <c r="L680" s="7" t="s">
        <v>26</v>
      </c>
      <c r="M680" s="8"/>
      <c r="N680" s="7" t="s">
        <v>27</v>
      </c>
      <c r="O680" s="8" t="s">
        <v>2503</v>
      </c>
    </row>
    <row r="681" customFormat="false" ht="60" hidden="false" customHeight="true" outlineLevel="0" collapsed="false">
      <c r="A681" s="4" t="s">
        <v>2504</v>
      </c>
      <c r="B681" s="5" t="s">
        <v>2499</v>
      </c>
      <c r="C681" s="5" t="s">
        <v>2500</v>
      </c>
      <c r="D681" s="5" t="s">
        <v>211</v>
      </c>
      <c r="E681" s="5" t="s">
        <v>212</v>
      </c>
      <c r="F681" s="4" t="s">
        <v>22</v>
      </c>
      <c r="G681" s="4" t="s">
        <v>2501</v>
      </c>
      <c r="H681" s="6" t="s">
        <v>2502</v>
      </c>
      <c r="I681" s="5" t="s">
        <v>2505</v>
      </c>
      <c r="J681" s="4" t="n">
        <v>1.54</v>
      </c>
      <c r="K681" s="4"/>
      <c r="L681" s="4" t="s">
        <v>26</v>
      </c>
      <c r="M681" s="5"/>
      <c r="N681" s="4" t="s">
        <v>27</v>
      </c>
      <c r="O681" s="5" t="s">
        <v>2503</v>
      </c>
    </row>
    <row r="682" customFormat="false" ht="60" hidden="false" customHeight="true" outlineLevel="0" collapsed="false">
      <c r="A682" s="7" t="s">
        <v>2506</v>
      </c>
      <c r="B682" s="8" t="s">
        <v>2499</v>
      </c>
      <c r="C682" s="8" t="s">
        <v>2500</v>
      </c>
      <c r="D682" s="8" t="s">
        <v>215</v>
      </c>
      <c r="E682" s="8" t="s">
        <v>216</v>
      </c>
      <c r="F682" s="7" t="s">
        <v>36</v>
      </c>
      <c r="G682" s="7" t="s">
        <v>2501</v>
      </c>
      <c r="H682" s="9" t="s">
        <v>2502</v>
      </c>
      <c r="I682" s="8" t="s">
        <v>2507</v>
      </c>
      <c r="J682" s="7" t="n">
        <v>1.66</v>
      </c>
      <c r="K682" s="7"/>
      <c r="L682" s="7" t="s">
        <v>26</v>
      </c>
      <c r="M682" s="8"/>
      <c r="N682" s="7" t="s">
        <v>27</v>
      </c>
      <c r="O682" s="8" t="s">
        <v>2503</v>
      </c>
    </row>
    <row r="683" customFormat="false" ht="60" hidden="false" customHeight="true" outlineLevel="0" collapsed="false">
      <c r="A683" s="4" t="s">
        <v>2508</v>
      </c>
      <c r="B683" s="5" t="s">
        <v>2499</v>
      </c>
      <c r="C683" s="5" t="s">
        <v>2500</v>
      </c>
      <c r="D683" s="5" t="s">
        <v>219</v>
      </c>
      <c r="E683" s="5" t="s">
        <v>220</v>
      </c>
      <c r="F683" s="4" t="s">
        <v>36</v>
      </c>
      <c r="G683" s="4" t="s">
        <v>2501</v>
      </c>
      <c r="H683" s="6" t="s">
        <v>2502</v>
      </c>
      <c r="I683" s="5" t="s">
        <v>2509</v>
      </c>
      <c r="J683" s="4" t="n">
        <v>4.48</v>
      </c>
      <c r="K683" s="4"/>
      <c r="L683" s="4" t="s">
        <v>26</v>
      </c>
      <c r="M683" s="5"/>
      <c r="N683" s="4" t="s">
        <v>27</v>
      </c>
      <c r="O683" s="5" t="s">
        <v>2503</v>
      </c>
    </row>
    <row r="684" customFormat="false" ht="60" hidden="false" customHeight="true" outlineLevel="0" collapsed="false">
      <c r="A684" s="7" t="s">
        <v>2510</v>
      </c>
      <c r="B684" s="8" t="s">
        <v>2499</v>
      </c>
      <c r="C684" s="8" t="s">
        <v>2500</v>
      </c>
      <c r="D684" s="8" t="s">
        <v>223</v>
      </c>
      <c r="E684" s="8" t="s">
        <v>224</v>
      </c>
      <c r="F684" s="7" t="s">
        <v>36</v>
      </c>
      <c r="G684" s="7" t="s">
        <v>2501</v>
      </c>
      <c r="H684" s="9" t="s">
        <v>2502</v>
      </c>
      <c r="I684" s="8" t="s">
        <v>2511</v>
      </c>
      <c r="J684" s="7" t="n">
        <v>1.92</v>
      </c>
      <c r="K684" s="7"/>
      <c r="L684" s="7" t="s">
        <v>26</v>
      </c>
      <c r="M684" s="8"/>
      <c r="N684" s="7" t="s">
        <v>27</v>
      </c>
      <c r="O684" s="8" t="s">
        <v>2503</v>
      </c>
    </row>
    <row r="685" customFormat="false" ht="60" hidden="false" customHeight="true" outlineLevel="0" collapsed="false">
      <c r="A685" s="4" t="s">
        <v>2512</v>
      </c>
      <c r="B685" s="5" t="s">
        <v>2499</v>
      </c>
      <c r="C685" s="5" t="s">
        <v>2500</v>
      </c>
      <c r="D685" s="5" t="s">
        <v>227</v>
      </c>
      <c r="E685" s="5" t="s">
        <v>228</v>
      </c>
      <c r="F685" s="4" t="s">
        <v>67</v>
      </c>
      <c r="G685" s="4" t="s">
        <v>2501</v>
      </c>
      <c r="H685" s="6" t="s">
        <v>2502</v>
      </c>
      <c r="I685" s="5" t="s">
        <v>2513</v>
      </c>
      <c r="J685" s="4" t="n">
        <v>1.28</v>
      </c>
      <c r="K685" s="4"/>
      <c r="L685" s="4" t="s">
        <v>26</v>
      </c>
      <c r="M685" s="5"/>
      <c r="N685" s="4" t="s">
        <v>27</v>
      </c>
      <c r="O685" s="5" t="s">
        <v>2503</v>
      </c>
    </row>
    <row r="686" customFormat="false" ht="60" hidden="false" customHeight="true" outlineLevel="0" collapsed="false">
      <c r="A686" s="7" t="s">
        <v>2514</v>
      </c>
      <c r="B686" s="8" t="s">
        <v>2499</v>
      </c>
      <c r="C686" s="8" t="s">
        <v>2500</v>
      </c>
      <c r="D686" s="8" t="s">
        <v>231</v>
      </c>
      <c r="E686" s="8" t="s">
        <v>232</v>
      </c>
      <c r="F686" s="7" t="s">
        <v>53</v>
      </c>
      <c r="G686" s="7" t="s">
        <v>2501</v>
      </c>
      <c r="H686" s="9" t="s">
        <v>2502</v>
      </c>
      <c r="I686" s="8" t="s">
        <v>2515</v>
      </c>
      <c r="J686" s="7" t="n">
        <v>0.65</v>
      </c>
      <c r="K686" s="7"/>
      <c r="L686" s="7" t="s">
        <v>26</v>
      </c>
      <c r="M686" s="8"/>
      <c r="N686" s="7" t="s">
        <v>27</v>
      </c>
      <c r="O686" s="8" t="s">
        <v>2503</v>
      </c>
    </row>
    <row r="687" customFormat="false" ht="60" hidden="false" customHeight="true" outlineLevel="0" collapsed="false">
      <c r="A687" s="4" t="s">
        <v>2516</v>
      </c>
      <c r="B687" s="5" t="s">
        <v>2499</v>
      </c>
      <c r="C687" s="5" t="s">
        <v>2500</v>
      </c>
      <c r="D687" s="5" t="s">
        <v>235</v>
      </c>
      <c r="E687" s="5" t="s">
        <v>236</v>
      </c>
      <c r="F687" s="4" t="s">
        <v>58</v>
      </c>
      <c r="G687" s="4" t="s">
        <v>2501</v>
      </c>
      <c r="H687" s="6" t="s">
        <v>2502</v>
      </c>
      <c r="I687" s="5" t="s">
        <v>2517</v>
      </c>
      <c r="J687" s="4" t="n">
        <v>0.51</v>
      </c>
      <c r="K687" s="4"/>
      <c r="L687" s="4" t="s">
        <v>26</v>
      </c>
      <c r="M687" s="5"/>
      <c r="N687" s="4" t="s">
        <v>27</v>
      </c>
      <c r="O687" s="5" t="s">
        <v>2503</v>
      </c>
    </row>
    <row r="688" customFormat="false" ht="60" hidden="false" customHeight="true" outlineLevel="0" collapsed="false">
      <c r="A688" s="7" t="s">
        <v>2518</v>
      </c>
      <c r="B688" s="8" t="s">
        <v>2499</v>
      </c>
      <c r="C688" s="8" t="s">
        <v>2500</v>
      </c>
      <c r="D688" s="8" t="s">
        <v>239</v>
      </c>
      <c r="E688" s="8" t="s">
        <v>240</v>
      </c>
      <c r="F688" s="7" t="s">
        <v>67</v>
      </c>
      <c r="G688" s="7" t="s">
        <v>2501</v>
      </c>
      <c r="H688" s="9" t="s">
        <v>2502</v>
      </c>
      <c r="I688" s="8" t="s">
        <v>2519</v>
      </c>
      <c r="J688" s="7" t="n">
        <v>0.29</v>
      </c>
      <c r="K688" s="7"/>
      <c r="L688" s="7" t="s">
        <v>26</v>
      </c>
      <c r="M688" s="8"/>
      <c r="N688" s="7" t="s">
        <v>27</v>
      </c>
      <c r="O688" s="8" t="s">
        <v>2503</v>
      </c>
    </row>
    <row r="689" customFormat="false" ht="60" hidden="false" customHeight="true" outlineLevel="0" collapsed="false">
      <c r="A689" s="4" t="s">
        <v>2520</v>
      </c>
      <c r="B689" s="5" t="s">
        <v>2499</v>
      </c>
      <c r="C689" s="5" t="s">
        <v>2500</v>
      </c>
      <c r="D689" s="5" t="s">
        <v>243</v>
      </c>
      <c r="E689" s="5" t="s">
        <v>244</v>
      </c>
      <c r="F689" s="4" t="s">
        <v>76</v>
      </c>
      <c r="G689" s="4" t="s">
        <v>2501</v>
      </c>
      <c r="H689" s="6" t="s">
        <v>2502</v>
      </c>
      <c r="I689" s="5" t="s">
        <v>2521</v>
      </c>
      <c r="J689" s="4" t="n">
        <v>0.84</v>
      </c>
      <c r="K689" s="4"/>
      <c r="L689" s="4" t="s">
        <v>26</v>
      </c>
      <c r="M689" s="5"/>
      <c r="N689" s="4" t="s">
        <v>27</v>
      </c>
      <c r="O689" s="5" t="s">
        <v>2503</v>
      </c>
    </row>
    <row r="690" customFormat="false" ht="60" hidden="false" customHeight="true" outlineLevel="0" collapsed="false">
      <c r="A690" s="7" t="s">
        <v>2522</v>
      </c>
      <c r="B690" s="8" t="s">
        <v>2499</v>
      </c>
      <c r="C690" s="8" t="s">
        <v>2523</v>
      </c>
      <c r="D690" s="8" t="s">
        <v>206</v>
      </c>
      <c r="E690" s="8" t="s">
        <v>207</v>
      </c>
      <c r="F690" s="7" t="s">
        <v>22</v>
      </c>
      <c r="G690" s="7" t="s">
        <v>2501</v>
      </c>
      <c r="H690" s="9" t="s">
        <v>2502</v>
      </c>
      <c r="I690" s="8" t="s">
        <v>2524</v>
      </c>
      <c r="J690" s="7" t="n">
        <v>1.15</v>
      </c>
      <c r="K690" s="7"/>
      <c r="L690" s="7" t="s">
        <v>26</v>
      </c>
      <c r="M690" s="8"/>
      <c r="N690" s="7" t="s">
        <v>27</v>
      </c>
      <c r="O690" s="8" t="s">
        <v>2525</v>
      </c>
    </row>
    <row r="691" customFormat="false" ht="60" hidden="false" customHeight="true" outlineLevel="0" collapsed="false">
      <c r="A691" s="4" t="s">
        <v>2526</v>
      </c>
      <c r="B691" s="5" t="s">
        <v>2499</v>
      </c>
      <c r="C691" s="5" t="s">
        <v>2523</v>
      </c>
      <c r="D691" s="5" t="s">
        <v>211</v>
      </c>
      <c r="E691" s="5" t="s">
        <v>212</v>
      </c>
      <c r="F691" s="4" t="s">
        <v>22</v>
      </c>
      <c r="G691" s="4" t="s">
        <v>2501</v>
      </c>
      <c r="H691" s="6" t="s">
        <v>2502</v>
      </c>
      <c r="I691" s="5" t="s">
        <v>2527</v>
      </c>
      <c r="J691" s="4" t="n">
        <v>0.92</v>
      </c>
      <c r="K691" s="4"/>
      <c r="L691" s="4" t="s">
        <v>26</v>
      </c>
      <c r="M691" s="5"/>
      <c r="N691" s="4" t="s">
        <v>27</v>
      </c>
      <c r="O691" s="5" t="s">
        <v>2525</v>
      </c>
    </row>
    <row r="692" customFormat="false" ht="60" hidden="false" customHeight="true" outlineLevel="0" collapsed="false">
      <c r="A692" s="7" t="s">
        <v>2528</v>
      </c>
      <c r="B692" s="8" t="s">
        <v>2499</v>
      </c>
      <c r="C692" s="8" t="s">
        <v>2523</v>
      </c>
      <c r="D692" s="8" t="s">
        <v>215</v>
      </c>
      <c r="E692" s="8" t="s">
        <v>216</v>
      </c>
      <c r="F692" s="7" t="s">
        <v>36</v>
      </c>
      <c r="G692" s="7" t="s">
        <v>2501</v>
      </c>
      <c r="H692" s="9" t="s">
        <v>2502</v>
      </c>
      <c r="I692" s="8" t="s">
        <v>2529</v>
      </c>
      <c r="J692" s="7" t="n">
        <v>1</v>
      </c>
      <c r="K692" s="7"/>
      <c r="L692" s="7" t="s">
        <v>26</v>
      </c>
      <c r="M692" s="8"/>
      <c r="N692" s="7" t="s">
        <v>27</v>
      </c>
      <c r="O692" s="8" t="s">
        <v>2525</v>
      </c>
    </row>
    <row r="693" customFormat="false" ht="60" hidden="false" customHeight="true" outlineLevel="0" collapsed="false">
      <c r="A693" s="4" t="s">
        <v>2530</v>
      </c>
      <c r="B693" s="5" t="s">
        <v>2499</v>
      </c>
      <c r="C693" s="5" t="s">
        <v>2523</v>
      </c>
      <c r="D693" s="5" t="s">
        <v>219</v>
      </c>
      <c r="E693" s="5" t="s">
        <v>220</v>
      </c>
      <c r="F693" s="4" t="s">
        <v>36</v>
      </c>
      <c r="G693" s="4" t="s">
        <v>2501</v>
      </c>
      <c r="H693" s="6" t="s">
        <v>2502</v>
      </c>
      <c r="I693" s="5" t="s">
        <v>2531</v>
      </c>
      <c r="J693" s="4" t="n">
        <v>2.69</v>
      </c>
      <c r="K693" s="4"/>
      <c r="L693" s="4" t="s">
        <v>26</v>
      </c>
      <c r="M693" s="5"/>
      <c r="N693" s="4" t="s">
        <v>27</v>
      </c>
      <c r="O693" s="5" t="s">
        <v>2525</v>
      </c>
    </row>
    <row r="694" customFormat="false" ht="60" hidden="false" customHeight="true" outlineLevel="0" collapsed="false">
      <c r="A694" s="7" t="s">
        <v>2532</v>
      </c>
      <c r="B694" s="8" t="s">
        <v>2499</v>
      </c>
      <c r="C694" s="8" t="s">
        <v>2523</v>
      </c>
      <c r="D694" s="8" t="s">
        <v>223</v>
      </c>
      <c r="E694" s="8" t="s">
        <v>224</v>
      </c>
      <c r="F694" s="7" t="s">
        <v>36</v>
      </c>
      <c r="G694" s="7" t="s">
        <v>2501</v>
      </c>
      <c r="H694" s="9" t="s">
        <v>2502</v>
      </c>
      <c r="I694" s="8" t="s">
        <v>2533</v>
      </c>
      <c r="J694" s="7" t="n">
        <v>1.15</v>
      </c>
      <c r="K694" s="7"/>
      <c r="L694" s="7" t="s">
        <v>26</v>
      </c>
      <c r="M694" s="8"/>
      <c r="N694" s="7" t="s">
        <v>27</v>
      </c>
      <c r="O694" s="8" t="s">
        <v>2525</v>
      </c>
    </row>
    <row r="695" customFormat="false" ht="60" hidden="false" customHeight="true" outlineLevel="0" collapsed="false">
      <c r="A695" s="4" t="s">
        <v>2534</v>
      </c>
      <c r="B695" s="5" t="s">
        <v>2499</v>
      </c>
      <c r="C695" s="5" t="s">
        <v>2523</v>
      </c>
      <c r="D695" s="5" t="s">
        <v>227</v>
      </c>
      <c r="E695" s="5" t="s">
        <v>228</v>
      </c>
      <c r="F695" s="4" t="s">
        <v>67</v>
      </c>
      <c r="G695" s="4" t="s">
        <v>2501</v>
      </c>
      <c r="H695" s="6" t="s">
        <v>2502</v>
      </c>
      <c r="I695" s="5" t="s">
        <v>2535</v>
      </c>
      <c r="J695" s="4" t="n">
        <v>0.77</v>
      </c>
      <c r="K695" s="4"/>
      <c r="L695" s="4" t="s">
        <v>26</v>
      </c>
      <c r="M695" s="5"/>
      <c r="N695" s="4" t="s">
        <v>27</v>
      </c>
      <c r="O695" s="5" t="s">
        <v>2525</v>
      </c>
    </row>
    <row r="696" customFormat="false" ht="60" hidden="false" customHeight="true" outlineLevel="0" collapsed="false">
      <c r="A696" s="7" t="s">
        <v>2536</v>
      </c>
      <c r="B696" s="8" t="s">
        <v>2499</v>
      </c>
      <c r="C696" s="8" t="s">
        <v>2523</v>
      </c>
      <c r="D696" s="8" t="s">
        <v>231</v>
      </c>
      <c r="E696" s="8" t="s">
        <v>232</v>
      </c>
      <c r="F696" s="7" t="s">
        <v>53</v>
      </c>
      <c r="G696" s="7" t="s">
        <v>2501</v>
      </c>
      <c r="H696" s="9" t="s">
        <v>2502</v>
      </c>
      <c r="I696" s="8" t="s">
        <v>2537</v>
      </c>
      <c r="J696" s="7" t="n">
        <v>0.39</v>
      </c>
      <c r="K696" s="7"/>
      <c r="L696" s="7" t="s">
        <v>26</v>
      </c>
      <c r="M696" s="8"/>
      <c r="N696" s="7" t="s">
        <v>27</v>
      </c>
      <c r="O696" s="8" t="s">
        <v>2525</v>
      </c>
    </row>
    <row r="697" customFormat="false" ht="60" hidden="false" customHeight="true" outlineLevel="0" collapsed="false">
      <c r="A697" s="4" t="s">
        <v>2538</v>
      </c>
      <c r="B697" s="5" t="s">
        <v>2499</v>
      </c>
      <c r="C697" s="5" t="s">
        <v>2523</v>
      </c>
      <c r="D697" s="5" t="s">
        <v>235</v>
      </c>
      <c r="E697" s="5" t="s">
        <v>236</v>
      </c>
      <c r="F697" s="4" t="s">
        <v>58</v>
      </c>
      <c r="G697" s="4" t="s">
        <v>2501</v>
      </c>
      <c r="H697" s="6" t="s">
        <v>2502</v>
      </c>
      <c r="I697" s="5" t="s">
        <v>2539</v>
      </c>
      <c r="J697" s="4" t="n">
        <v>0.3</v>
      </c>
      <c r="K697" s="4"/>
      <c r="L697" s="4" t="s">
        <v>26</v>
      </c>
      <c r="M697" s="5"/>
      <c r="N697" s="4" t="s">
        <v>27</v>
      </c>
      <c r="O697" s="5" t="s">
        <v>2525</v>
      </c>
    </row>
    <row r="698" customFormat="false" ht="60" hidden="false" customHeight="true" outlineLevel="0" collapsed="false">
      <c r="A698" s="7" t="s">
        <v>2540</v>
      </c>
      <c r="B698" s="8" t="s">
        <v>2499</v>
      </c>
      <c r="C698" s="8" t="s">
        <v>2523</v>
      </c>
      <c r="D698" s="8" t="s">
        <v>239</v>
      </c>
      <c r="E698" s="8" t="s">
        <v>240</v>
      </c>
      <c r="F698" s="7" t="s">
        <v>67</v>
      </c>
      <c r="G698" s="7" t="s">
        <v>2501</v>
      </c>
      <c r="H698" s="9" t="s">
        <v>2502</v>
      </c>
      <c r="I698" s="8" t="s">
        <v>2541</v>
      </c>
      <c r="J698" s="7" t="n">
        <v>0.17</v>
      </c>
      <c r="K698" s="7"/>
      <c r="L698" s="7" t="s">
        <v>26</v>
      </c>
      <c r="M698" s="8"/>
      <c r="N698" s="7" t="s">
        <v>27</v>
      </c>
      <c r="O698" s="8" t="s">
        <v>2525</v>
      </c>
    </row>
    <row r="699" customFormat="false" ht="60" hidden="false" customHeight="true" outlineLevel="0" collapsed="false">
      <c r="A699" s="4" t="s">
        <v>2542</v>
      </c>
      <c r="B699" s="5" t="s">
        <v>2499</v>
      </c>
      <c r="C699" s="5" t="s">
        <v>2523</v>
      </c>
      <c r="D699" s="5" t="s">
        <v>243</v>
      </c>
      <c r="E699" s="5" t="s">
        <v>244</v>
      </c>
      <c r="F699" s="4" t="s">
        <v>76</v>
      </c>
      <c r="G699" s="4" t="s">
        <v>2501</v>
      </c>
      <c r="H699" s="6" t="s">
        <v>2502</v>
      </c>
      <c r="I699" s="5" t="s">
        <v>2543</v>
      </c>
      <c r="J699" s="4" t="n">
        <v>0.51</v>
      </c>
      <c r="K699" s="4"/>
      <c r="L699" s="4" t="s">
        <v>26</v>
      </c>
      <c r="M699" s="5"/>
      <c r="N699" s="4" t="s">
        <v>27</v>
      </c>
      <c r="O699" s="5" t="s">
        <v>2525</v>
      </c>
    </row>
    <row r="700" customFormat="false" ht="60" hidden="false" customHeight="true" outlineLevel="0" collapsed="false">
      <c r="A700" s="7" t="s">
        <v>2544</v>
      </c>
      <c r="B700" s="8" t="s">
        <v>2499</v>
      </c>
      <c r="C700" s="8" t="s">
        <v>2545</v>
      </c>
      <c r="D700" s="8" t="s">
        <v>2546</v>
      </c>
      <c r="E700" s="8" t="s">
        <v>2547</v>
      </c>
      <c r="F700" s="7" t="s">
        <v>22</v>
      </c>
      <c r="G700" s="7" t="s">
        <v>2501</v>
      </c>
      <c r="H700" s="9" t="s">
        <v>2502</v>
      </c>
      <c r="I700" s="8" t="s">
        <v>2548</v>
      </c>
      <c r="J700" s="7" t="n">
        <v>3.05</v>
      </c>
      <c r="K700" s="7"/>
      <c r="L700" s="7" t="s">
        <v>26</v>
      </c>
      <c r="M700" s="8"/>
      <c r="N700" s="7" t="s">
        <v>27</v>
      </c>
      <c r="O700" s="8" t="s">
        <v>2549</v>
      </c>
    </row>
    <row r="701" customFormat="false" ht="60" hidden="false" customHeight="true" outlineLevel="0" collapsed="false">
      <c r="A701" s="4" t="s">
        <v>2550</v>
      </c>
      <c r="B701" s="5" t="s">
        <v>2499</v>
      </c>
      <c r="C701" s="5" t="s">
        <v>2545</v>
      </c>
      <c r="D701" s="5" t="s">
        <v>2551</v>
      </c>
      <c r="E701" s="5" t="s">
        <v>2552</v>
      </c>
      <c r="F701" s="4" t="s">
        <v>22</v>
      </c>
      <c r="G701" s="4" t="s">
        <v>2501</v>
      </c>
      <c r="H701" s="6" t="s">
        <v>2502</v>
      </c>
      <c r="I701" s="5" t="s">
        <v>2553</v>
      </c>
      <c r="J701" s="4" t="n">
        <v>2.44</v>
      </c>
      <c r="K701" s="4"/>
      <c r="L701" s="4" t="s">
        <v>26</v>
      </c>
      <c r="M701" s="5"/>
      <c r="N701" s="4" t="s">
        <v>27</v>
      </c>
      <c r="O701" s="5" t="s">
        <v>2549</v>
      </c>
    </row>
    <row r="702" customFormat="false" ht="60" hidden="false" customHeight="true" outlineLevel="0" collapsed="false">
      <c r="A702" s="7" t="s">
        <v>2554</v>
      </c>
      <c r="B702" s="8" t="s">
        <v>2499</v>
      </c>
      <c r="C702" s="8" t="s">
        <v>2545</v>
      </c>
      <c r="D702" s="8" t="s">
        <v>2555</v>
      </c>
      <c r="E702" s="8" t="s">
        <v>2556</v>
      </c>
      <c r="F702" s="7" t="s">
        <v>36</v>
      </c>
      <c r="G702" s="7" t="s">
        <v>2501</v>
      </c>
      <c r="H702" s="9" t="s">
        <v>2502</v>
      </c>
      <c r="I702" s="8" t="s">
        <v>2557</v>
      </c>
      <c r="J702" s="7" t="n">
        <v>2.64</v>
      </c>
      <c r="K702" s="7"/>
      <c r="L702" s="7" t="s">
        <v>26</v>
      </c>
      <c r="M702" s="8"/>
      <c r="N702" s="7" t="s">
        <v>27</v>
      </c>
      <c r="O702" s="8" t="s">
        <v>2549</v>
      </c>
    </row>
    <row r="703" customFormat="false" ht="60" hidden="false" customHeight="true" outlineLevel="0" collapsed="false">
      <c r="A703" s="4" t="s">
        <v>2558</v>
      </c>
      <c r="B703" s="5" t="s">
        <v>2499</v>
      </c>
      <c r="C703" s="5" t="s">
        <v>2545</v>
      </c>
      <c r="D703" s="5" t="s">
        <v>1799</v>
      </c>
      <c r="E703" s="5" t="s">
        <v>1800</v>
      </c>
      <c r="F703" s="4" t="s">
        <v>36</v>
      </c>
      <c r="G703" s="4" t="s">
        <v>2501</v>
      </c>
      <c r="H703" s="6" t="s">
        <v>2502</v>
      </c>
      <c r="I703" s="5" t="s">
        <v>2559</v>
      </c>
      <c r="J703" s="4" t="n">
        <v>7.11</v>
      </c>
      <c r="K703" s="4"/>
      <c r="L703" s="4" t="s">
        <v>26</v>
      </c>
      <c r="M703" s="5"/>
      <c r="N703" s="4" t="s">
        <v>27</v>
      </c>
      <c r="O703" s="5" t="s">
        <v>2549</v>
      </c>
    </row>
    <row r="704" customFormat="false" ht="60" hidden="false" customHeight="true" outlineLevel="0" collapsed="false">
      <c r="A704" s="7" t="s">
        <v>2560</v>
      </c>
      <c r="B704" s="8" t="s">
        <v>2499</v>
      </c>
      <c r="C704" s="8" t="s">
        <v>2545</v>
      </c>
      <c r="D704" s="8" t="s">
        <v>1803</v>
      </c>
      <c r="E704" s="8" t="s">
        <v>1804</v>
      </c>
      <c r="F704" s="7" t="s">
        <v>36</v>
      </c>
      <c r="G704" s="7" t="s">
        <v>2501</v>
      </c>
      <c r="H704" s="9" t="s">
        <v>2502</v>
      </c>
      <c r="I704" s="8" t="s">
        <v>2561</v>
      </c>
      <c r="J704" s="7" t="n">
        <v>3.05</v>
      </c>
      <c r="K704" s="7"/>
      <c r="L704" s="7" t="s">
        <v>26</v>
      </c>
      <c r="M704" s="8"/>
      <c r="N704" s="7" t="s">
        <v>27</v>
      </c>
      <c r="O704" s="8" t="s">
        <v>2549</v>
      </c>
    </row>
    <row r="705" customFormat="false" ht="60" hidden="false" customHeight="true" outlineLevel="0" collapsed="false">
      <c r="A705" s="4" t="s">
        <v>2562</v>
      </c>
      <c r="B705" s="5" t="s">
        <v>2499</v>
      </c>
      <c r="C705" s="5" t="s">
        <v>2545</v>
      </c>
      <c r="D705" s="5" t="s">
        <v>1807</v>
      </c>
      <c r="E705" s="5" t="s">
        <v>1808</v>
      </c>
      <c r="F705" s="4" t="s">
        <v>67</v>
      </c>
      <c r="G705" s="4" t="s">
        <v>2501</v>
      </c>
      <c r="H705" s="6" t="s">
        <v>2502</v>
      </c>
      <c r="I705" s="5" t="s">
        <v>2563</v>
      </c>
      <c r="J705" s="4" t="n">
        <v>2.03</v>
      </c>
      <c r="K705" s="4"/>
      <c r="L705" s="4" t="s">
        <v>26</v>
      </c>
      <c r="M705" s="5"/>
      <c r="N705" s="4" t="s">
        <v>27</v>
      </c>
      <c r="O705" s="5" t="s">
        <v>2549</v>
      </c>
    </row>
    <row r="706" customFormat="false" ht="60" hidden="false" customHeight="true" outlineLevel="0" collapsed="false">
      <c r="A706" s="7" t="s">
        <v>2564</v>
      </c>
      <c r="B706" s="8" t="s">
        <v>2499</v>
      </c>
      <c r="C706" s="8" t="s">
        <v>2545</v>
      </c>
      <c r="D706" s="8" t="s">
        <v>1811</v>
      </c>
      <c r="E706" s="8" t="s">
        <v>1812</v>
      </c>
      <c r="F706" s="7" t="s">
        <v>53</v>
      </c>
      <c r="G706" s="7" t="s">
        <v>2501</v>
      </c>
      <c r="H706" s="9" t="s">
        <v>2502</v>
      </c>
      <c r="I706" s="8" t="s">
        <v>2565</v>
      </c>
      <c r="J706" s="7" t="n">
        <v>1.03</v>
      </c>
      <c r="K706" s="7"/>
      <c r="L706" s="7" t="s">
        <v>26</v>
      </c>
      <c r="M706" s="8"/>
      <c r="N706" s="7" t="s">
        <v>27</v>
      </c>
      <c r="O706" s="8" t="s">
        <v>2549</v>
      </c>
    </row>
    <row r="707" customFormat="false" ht="60" hidden="false" customHeight="true" outlineLevel="0" collapsed="false">
      <c r="A707" s="4" t="s">
        <v>2566</v>
      </c>
      <c r="B707" s="5" t="s">
        <v>2499</v>
      </c>
      <c r="C707" s="5" t="s">
        <v>2545</v>
      </c>
      <c r="D707" s="5" t="s">
        <v>1815</v>
      </c>
      <c r="E707" s="5" t="s">
        <v>1816</v>
      </c>
      <c r="F707" s="4" t="s">
        <v>58</v>
      </c>
      <c r="G707" s="4" t="s">
        <v>2501</v>
      </c>
      <c r="H707" s="6" t="s">
        <v>2502</v>
      </c>
      <c r="I707" s="5" t="s">
        <v>2567</v>
      </c>
      <c r="J707" s="4" t="n">
        <v>0.8</v>
      </c>
      <c r="K707" s="4"/>
      <c r="L707" s="4" t="s">
        <v>26</v>
      </c>
      <c r="M707" s="5"/>
      <c r="N707" s="4" t="s">
        <v>27</v>
      </c>
      <c r="O707" s="5" t="s">
        <v>2549</v>
      </c>
    </row>
    <row r="708" customFormat="false" ht="60" hidden="false" customHeight="true" outlineLevel="0" collapsed="false">
      <c r="A708" s="7" t="s">
        <v>2568</v>
      </c>
      <c r="B708" s="8" t="s">
        <v>2499</v>
      </c>
      <c r="C708" s="8" t="s">
        <v>2545</v>
      </c>
      <c r="D708" s="8" t="s">
        <v>1819</v>
      </c>
      <c r="E708" s="8" t="s">
        <v>1820</v>
      </c>
      <c r="F708" s="7" t="s">
        <v>67</v>
      </c>
      <c r="G708" s="7" t="s">
        <v>2501</v>
      </c>
      <c r="H708" s="9" t="s">
        <v>2502</v>
      </c>
      <c r="I708" s="8" t="s">
        <v>2569</v>
      </c>
      <c r="J708" s="7" t="n">
        <v>0.46</v>
      </c>
      <c r="K708" s="7"/>
      <c r="L708" s="7" t="s">
        <v>26</v>
      </c>
      <c r="M708" s="8"/>
      <c r="N708" s="7" t="s">
        <v>27</v>
      </c>
      <c r="O708" s="8" t="s">
        <v>2549</v>
      </c>
    </row>
    <row r="709" customFormat="false" ht="60" hidden="false" customHeight="true" outlineLevel="0" collapsed="false">
      <c r="A709" s="4" t="s">
        <v>2570</v>
      </c>
      <c r="B709" s="5" t="s">
        <v>2499</v>
      </c>
      <c r="C709" s="5" t="s">
        <v>2545</v>
      </c>
      <c r="D709" s="5" t="s">
        <v>1823</v>
      </c>
      <c r="E709" s="5" t="s">
        <v>1824</v>
      </c>
      <c r="F709" s="4" t="s">
        <v>76</v>
      </c>
      <c r="G709" s="4" t="s">
        <v>2501</v>
      </c>
      <c r="H709" s="6" t="s">
        <v>2502</v>
      </c>
      <c r="I709" s="5" t="s">
        <v>2571</v>
      </c>
      <c r="J709" s="4" t="n">
        <v>1.35</v>
      </c>
      <c r="K709" s="4"/>
      <c r="L709" s="4" t="s">
        <v>26</v>
      </c>
      <c r="M709" s="5"/>
      <c r="N709" s="4" t="s">
        <v>27</v>
      </c>
      <c r="O709" s="5" t="s">
        <v>2549</v>
      </c>
    </row>
    <row r="710" customFormat="false" ht="60" hidden="false" customHeight="true" outlineLevel="0" collapsed="false">
      <c r="A710" s="7" t="s">
        <v>2572</v>
      </c>
      <c r="B710" s="8" t="s">
        <v>2499</v>
      </c>
      <c r="C710" s="8" t="s">
        <v>2573</v>
      </c>
      <c r="D710" s="8" t="s">
        <v>206</v>
      </c>
      <c r="E710" s="8" t="s">
        <v>207</v>
      </c>
      <c r="F710" s="7" t="s">
        <v>22</v>
      </c>
      <c r="G710" s="7" t="s">
        <v>2574</v>
      </c>
      <c r="H710" s="9" t="s">
        <v>2575</v>
      </c>
      <c r="I710" s="8" t="s">
        <v>2576</v>
      </c>
      <c r="J710" s="7" t="n">
        <v>1.92</v>
      </c>
      <c r="K710" s="7"/>
      <c r="L710" s="7" t="s">
        <v>253</v>
      </c>
      <c r="M710" s="8"/>
      <c r="N710" s="7" t="s">
        <v>27</v>
      </c>
      <c r="O710" s="8" t="s">
        <v>2577</v>
      </c>
    </row>
    <row r="711" customFormat="false" ht="60" hidden="false" customHeight="true" outlineLevel="0" collapsed="false">
      <c r="A711" s="4" t="s">
        <v>2578</v>
      </c>
      <c r="B711" s="5" t="s">
        <v>2499</v>
      </c>
      <c r="C711" s="5" t="s">
        <v>2573</v>
      </c>
      <c r="D711" s="5" t="s">
        <v>211</v>
      </c>
      <c r="E711" s="5" t="s">
        <v>212</v>
      </c>
      <c r="F711" s="4" t="s">
        <v>22</v>
      </c>
      <c r="G711" s="4" t="s">
        <v>2574</v>
      </c>
      <c r="H711" s="6" t="s">
        <v>2575</v>
      </c>
      <c r="I711" s="5" t="s">
        <v>2579</v>
      </c>
      <c r="J711" s="4" t="n">
        <v>1.54</v>
      </c>
      <c r="K711" s="4"/>
      <c r="L711" s="4" t="s">
        <v>253</v>
      </c>
      <c r="M711" s="5"/>
      <c r="N711" s="4" t="s">
        <v>27</v>
      </c>
      <c r="O711" s="5" t="s">
        <v>2577</v>
      </c>
    </row>
    <row r="712" customFormat="false" ht="60" hidden="false" customHeight="true" outlineLevel="0" collapsed="false">
      <c r="A712" s="7" t="s">
        <v>2580</v>
      </c>
      <c r="B712" s="8" t="s">
        <v>2499</v>
      </c>
      <c r="C712" s="8" t="s">
        <v>2573</v>
      </c>
      <c r="D712" s="8" t="s">
        <v>215</v>
      </c>
      <c r="E712" s="8" t="s">
        <v>216</v>
      </c>
      <c r="F712" s="7" t="s">
        <v>36</v>
      </c>
      <c r="G712" s="7" t="s">
        <v>2574</v>
      </c>
      <c r="H712" s="9" t="s">
        <v>2575</v>
      </c>
      <c r="I712" s="8" t="s">
        <v>2581</v>
      </c>
      <c r="J712" s="7" t="n">
        <v>1.66</v>
      </c>
      <c r="K712" s="7"/>
      <c r="L712" s="7" t="s">
        <v>253</v>
      </c>
      <c r="M712" s="8"/>
      <c r="N712" s="7" t="s">
        <v>27</v>
      </c>
      <c r="O712" s="8" t="s">
        <v>2577</v>
      </c>
    </row>
    <row r="713" customFormat="false" ht="60" hidden="false" customHeight="true" outlineLevel="0" collapsed="false">
      <c r="A713" s="4" t="s">
        <v>2582</v>
      </c>
      <c r="B713" s="5" t="s">
        <v>2499</v>
      </c>
      <c r="C713" s="5" t="s">
        <v>2573</v>
      </c>
      <c r="D713" s="5" t="s">
        <v>219</v>
      </c>
      <c r="E713" s="5" t="s">
        <v>220</v>
      </c>
      <c r="F713" s="4" t="s">
        <v>36</v>
      </c>
      <c r="G713" s="4" t="s">
        <v>2574</v>
      </c>
      <c r="H713" s="6" t="s">
        <v>2575</v>
      </c>
      <c r="I713" s="5" t="s">
        <v>2583</v>
      </c>
      <c r="J713" s="4" t="n">
        <v>4.48</v>
      </c>
      <c r="K713" s="4"/>
      <c r="L713" s="4" t="s">
        <v>253</v>
      </c>
      <c r="M713" s="5"/>
      <c r="N713" s="4" t="s">
        <v>27</v>
      </c>
      <c r="O713" s="5" t="s">
        <v>2577</v>
      </c>
    </row>
    <row r="714" customFormat="false" ht="60" hidden="false" customHeight="true" outlineLevel="0" collapsed="false">
      <c r="A714" s="7" t="s">
        <v>2584</v>
      </c>
      <c r="B714" s="8" t="s">
        <v>2499</v>
      </c>
      <c r="C714" s="8" t="s">
        <v>2573</v>
      </c>
      <c r="D714" s="8" t="s">
        <v>223</v>
      </c>
      <c r="E714" s="8" t="s">
        <v>224</v>
      </c>
      <c r="F714" s="7" t="s">
        <v>36</v>
      </c>
      <c r="G714" s="7" t="s">
        <v>2574</v>
      </c>
      <c r="H714" s="9" t="s">
        <v>2575</v>
      </c>
      <c r="I714" s="8" t="s">
        <v>2585</v>
      </c>
      <c r="J714" s="7" t="n">
        <v>1.92</v>
      </c>
      <c r="K714" s="7"/>
      <c r="L714" s="7" t="s">
        <v>253</v>
      </c>
      <c r="M714" s="8"/>
      <c r="N714" s="7" t="s">
        <v>27</v>
      </c>
      <c r="O714" s="8" t="s">
        <v>2577</v>
      </c>
    </row>
    <row r="715" customFormat="false" ht="60" hidden="false" customHeight="true" outlineLevel="0" collapsed="false">
      <c r="A715" s="4" t="s">
        <v>2586</v>
      </c>
      <c r="B715" s="5" t="s">
        <v>2499</v>
      </c>
      <c r="C715" s="5" t="s">
        <v>2573</v>
      </c>
      <c r="D715" s="5" t="s">
        <v>227</v>
      </c>
      <c r="E715" s="5" t="s">
        <v>228</v>
      </c>
      <c r="F715" s="4" t="s">
        <v>67</v>
      </c>
      <c r="G715" s="4" t="s">
        <v>2574</v>
      </c>
      <c r="H715" s="6" t="s">
        <v>2575</v>
      </c>
      <c r="I715" s="5" t="s">
        <v>2587</v>
      </c>
      <c r="J715" s="4" t="n">
        <v>1.28</v>
      </c>
      <c r="K715" s="4"/>
      <c r="L715" s="4" t="s">
        <v>253</v>
      </c>
      <c r="M715" s="5"/>
      <c r="N715" s="4" t="s">
        <v>27</v>
      </c>
      <c r="O715" s="5" t="s">
        <v>2577</v>
      </c>
    </row>
    <row r="716" customFormat="false" ht="60" hidden="false" customHeight="true" outlineLevel="0" collapsed="false">
      <c r="A716" s="7" t="s">
        <v>2588</v>
      </c>
      <c r="B716" s="8" t="s">
        <v>2499</v>
      </c>
      <c r="C716" s="8" t="s">
        <v>2573</v>
      </c>
      <c r="D716" s="8" t="s">
        <v>231</v>
      </c>
      <c r="E716" s="8" t="s">
        <v>232</v>
      </c>
      <c r="F716" s="7" t="s">
        <v>53</v>
      </c>
      <c r="G716" s="7" t="s">
        <v>2574</v>
      </c>
      <c r="H716" s="9" t="s">
        <v>2575</v>
      </c>
      <c r="I716" s="8" t="s">
        <v>2589</v>
      </c>
      <c r="J716" s="7" t="n">
        <v>0.65</v>
      </c>
      <c r="K716" s="7"/>
      <c r="L716" s="7" t="s">
        <v>253</v>
      </c>
      <c r="M716" s="8"/>
      <c r="N716" s="7" t="s">
        <v>27</v>
      </c>
      <c r="O716" s="8" t="s">
        <v>2577</v>
      </c>
    </row>
    <row r="717" customFormat="false" ht="60" hidden="false" customHeight="true" outlineLevel="0" collapsed="false">
      <c r="A717" s="4" t="s">
        <v>2590</v>
      </c>
      <c r="B717" s="5" t="s">
        <v>2499</v>
      </c>
      <c r="C717" s="5" t="s">
        <v>2573</v>
      </c>
      <c r="D717" s="5" t="s">
        <v>235</v>
      </c>
      <c r="E717" s="5" t="s">
        <v>236</v>
      </c>
      <c r="F717" s="4" t="s">
        <v>58</v>
      </c>
      <c r="G717" s="4" t="s">
        <v>2574</v>
      </c>
      <c r="H717" s="6" t="s">
        <v>2575</v>
      </c>
      <c r="I717" s="5" t="s">
        <v>2591</v>
      </c>
      <c r="J717" s="4" t="n">
        <v>0.51</v>
      </c>
      <c r="K717" s="4"/>
      <c r="L717" s="4" t="s">
        <v>253</v>
      </c>
      <c r="M717" s="5"/>
      <c r="N717" s="4" t="s">
        <v>27</v>
      </c>
      <c r="O717" s="5" t="s">
        <v>2577</v>
      </c>
    </row>
    <row r="718" customFormat="false" ht="60" hidden="false" customHeight="true" outlineLevel="0" collapsed="false">
      <c r="A718" s="7" t="s">
        <v>2592</v>
      </c>
      <c r="B718" s="8" t="s">
        <v>2499</v>
      </c>
      <c r="C718" s="8" t="s">
        <v>2573</v>
      </c>
      <c r="D718" s="8" t="s">
        <v>239</v>
      </c>
      <c r="E718" s="8" t="s">
        <v>240</v>
      </c>
      <c r="F718" s="7" t="s">
        <v>67</v>
      </c>
      <c r="G718" s="7" t="s">
        <v>2574</v>
      </c>
      <c r="H718" s="9" t="s">
        <v>2575</v>
      </c>
      <c r="I718" s="8" t="s">
        <v>2593</v>
      </c>
      <c r="J718" s="7" t="n">
        <v>0.29</v>
      </c>
      <c r="K718" s="7"/>
      <c r="L718" s="7" t="s">
        <v>253</v>
      </c>
      <c r="M718" s="8"/>
      <c r="N718" s="7" t="s">
        <v>27</v>
      </c>
      <c r="O718" s="8" t="s">
        <v>2577</v>
      </c>
    </row>
    <row r="719" customFormat="false" ht="60" hidden="false" customHeight="true" outlineLevel="0" collapsed="false">
      <c r="A719" s="4" t="s">
        <v>2594</v>
      </c>
      <c r="B719" s="5" t="s">
        <v>2499</v>
      </c>
      <c r="C719" s="5" t="s">
        <v>2573</v>
      </c>
      <c r="D719" s="5" t="s">
        <v>243</v>
      </c>
      <c r="E719" s="5" t="s">
        <v>244</v>
      </c>
      <c r="F719" s="4" t="s">
        <v>76</v>
      </c>
      <c r="G719" s="4" t="s">
        <v>2574</v>
      </c>
      <c r="H719" s="6" t="s">
        <v>2575</v>
      </c>
      <c r="I719" s="5" t="s">
        <v>2595</v>
      </c>
      <c r="J719" s="4" t="n">
        <v>0.84</v>
      </c>
      <c r="K719" s="4"/>
      <c r="L719" s="4" t="s">
        <v>253</v>
      </c>
      <c r="M719" s="5"/>
      <c r="N719" s="4" t="s">
        <v>27</v>
      </c>
      <c r="O719" s="5" t="s">
        <v>2577</v>
      </c>
    </row>
    <row r="720" customFormat="false" ht="60" hidden="false" customHeight="true" outlineLevel="0" collapsed="false">
      <c r="A720" s="7" t="s">
        <v>2596</v>
      </c>
      <c r="B720" s="8" t="s">
        <v>2499</v>
      </c>
      <c r="C720" s="8" t="s">
        <v>2597</v>
      </c>
      <c r="D720" s="8" t="s">
        <v>206</v>
      </c>
      <c r="E720" s="8" t="s">
        <v>207</v>
      </c>
      <c r="F720" s="7" t="s">
        <v>22</v>
      </c>
      <c r="G720" s="7" t="s">
        <v>2574</v>
      </c>
      <c r="H720" s="9" t="s">
        <v>2575</v>
      </c>
      <c r="I720" s="8" t="s">
        <v>2598</v>
      </c>
      <c r="J720" s="7" t="n">
        <v>1.15</v>
      </c>
      <c r="K720" s="7"/>
      <c r="L720" s="7" t="s">
        <v>26</v>
      </c>
      <c r="M720" s="8"/>
      <c r="N720" s="7" t="s">
        <v>27</v>
      </c>
      <c r="O720" s="8" t="s">
        <v>2599</v>
      </c>
    </row>
    <row r="721" customFormat="false" ht="60" hidden="false" customHeight="true" outlineLevel="0" collapsed="false">
      <c r="A721" s="4" t="s">
        <v>2600</v>
      </c>
      <c r="B721" s="5" t="s">
        <v>2499</v>
      </c>
      <c r="C721" s="5" t="s">
        <v>2597</v>
      </c>
      <c r="D721" s="5" t="s">
        <v>211</v>
      </c>
      <c r="E721" s="5" t="s">
        <v>212</v>
      </c>
      <c r="F721" s="4" t="s">
        <v>22</v>
      </c>
      <c r="G721" s="4" t="s">
        <v>2574</v>
      </c>
      <c r="H721" s="6" t="s">
        <v>2575</v>
      </c>
      <c r="I721" s="5" t="s">
        <v>2601</v>
      </c>
      <c r="J721" s="4" t="n">
        <v>0.92</v>
      </c>
      <c r="K721" s="4"/>
      <c r="L721" s="4" t="s">
        <v>26</v>
      </c>
      <c r="M721" s="5"/>
      <c r="N721" s="4" t="s">
        <v>27</v>
      </c>
      <c r="O721" s="5" t="s">
        <v>2599</v>
      </c>
    </row>
    <row r="722" customFormat="false" ht="60" hidden="false" customHeight="true" outlineLevel="0" collapsed="false">
      <c r="A722" s="7" t="s">
        <v>2602</v>
      </c>
      <c r="B722" s="8" t="s">
        <v>2499</v>
      </c>
      <c r="C722" s="8" t="s">
        <v>2597</v>
      </c>
      <c r="D722" s="8" t="s">
        <v>215</v>
      </c>
      <c r="E722" s="8" t="s">
        <v>216</v>
      </c>
      <c r="F722" s="7" t="s">
        <v>36</v>
      </c>
      <c r="G722" s="7" t="s">
        <v>2574</v>
      </c>
      <c r="H722" s="9" t="s">
        <v>2575</v>
      </c>
      <c r="I722" s="8" t="s">
        <v>2603</v>
      </c>
      <c r="J722" s="7" t="n">
        <v>1</v>
      </c>
      <c r="K722" s="7"/>
      <c r="L722" s="7" t="s">
        <v>26</v>
      </c>
      <c r="M722" s="8"/>
      <c r="N722" s="7" t="s">
        <v>27</v>
      </c>
      <c r="O722" s="8" t="s">
        <v>2599</v>
      </c>
    </row>
    <row r="723" customFormat="false" ht="60" hidden="false" customHeight="true" outlineLevel="0" collapsed="false">
      <c r="A723" s="4" t="s">
        <v>2604</v>
      </c>
      <c r="B723" s="5" t="s">
        <v>2499</v>
      </c>
      <c r="C723" s="5" t="s">
        <v>2597</v>
      </c>
      <c r="D723" s="5" t="s">
        <v>219</v>
      </c>
      <c r="E723" s="5" t="s">
        <v>220</v>
      </c>
      <c r="F723" s="4" t="s">
        <v>36</v>
      </c>
      <c r="G723" s="4" t="s">
        <v>2574</v>
      </c>
      <c r="H723" s="6" t="s">
        <v>2575</v>
      </c>
      <c r="I723" s="5" t="s">
        <v>2605</v>
      </c>
      <c r="J723" s="4" t="n">
        <v>2.69</v>
      </c>
      <c r="K723" s="4"/>
      <c r="L723" s="4" t="s">
        <v>26</v>
      </c>
      <c r="M723" s="5"/>
      <c r="N723" s="4" t="s">
        <v>27</v>
      </c>
      <c r="O723" s="5" t="s">
        <v>2599</v>
      </c>
    </row>
    <row r="724" customFormat="false" ht="60" hidden="false" customHeight="true" outlineLevel="0" collapsed="false">
      <c r="A724" s="7" t="s">
        <v>2606</v>
      </c>
      <c r="B724" s="8" t="s">
        <v>2499</v>
      </c>
      <c r="C724" s="8" t="s">
        <v>2597</v>
      </c>
      <c r="D724" s="8" t="s">
        <v>223</v>
      </c>
      <c r="E724" s="8" t="s">
        <v>224</v>
      </c>
      <c r="F724" s="7" t="s">
        <v>36</v>
      </c>
      <c r="G724" s="7" t="s">
        <v>2574</v>
      </c>
      <c r="H724" s="9" t="s">
        <v>2575</v>
      </c>
      <c r="I724" s="8" t="s">
        <v>2607</v>
      </c>
      <c r="J724" s="7" t="n">
        <v>1.15</v>
      </c>
      <c r="K724" s="7"/>
      <c r="L724" s="7" t="s">
        <v>26</v>
      </c>
      <c r="M724" s="8"/>
      <c r="N724" s="7" t="s">
        <v>27</v>
      </c>
      <c r="O724" s="8" t="s">
        <v>2599</v>
      </c>
    </row>
    <row r="725" customFormat="false" ht="60" hidden="false" customHeight="true" outlineLevel="0" collapsed="false">
      <c r="A725" s="4" t="s">
        <v>2608</v>
      </c>
      <c r="B725" s="5" t="s">
        <v>2499</v>
      </c>
      <c r="C725" s="5" t="s">
        <v>2597</v>
      </c>
      <c r="D725" s="5" t="s">
        <v>227</v>
      </c>
      <c r="E725" s="5" t="s">
        <v>228</v>
      </c>
      <c r="F725" s="4" t="s">
        <v>67</v>
      </c>
      <c r="G725" s="4" t="s">
        <v>2574</v>
      </c>
      <c r="H725" s="6" t="s">
        <v>2575</v>
      </c>
      <c r="I725" s="5" t="s">
        <v>2609</v>
      </c>
      <c r="J725" s="4" t="n">
        <v>0.77</v>
      </c>
      <c r="K725" s="4"/>
      <c r="L725" s="4" t="s">
        <v>26</v>
      </c>
      <c r="M725" s="5"/>
      <c r="N725" s="4" t="s">
        <v>27</v>
      </c>
      <c r="O725" s="5" t="s">
        <v>2599</v>
      </c>
    </row>
    <row r="726" customFormat="false" ht="60" hidden="false" customHeight="true" outlineLevel="0" collapsed="false">
      <c r="A726" s="7" t="s">
        <v>2610</v>
      </c>
      <c r="B726" s="8" t="s">
        <v>2499</v>
      </c>
      <c r="C726" s="8" t="s">
        <v>2597</v>
      </c>
      <c r="D726" s="8" t="s">
        <v>231</v>
      </c>
      <c r="E726" s="8" t="s">
        <v>232</v>
      </c>
      <c r="F726" s="7" t="s">
        <v>53</v>
      </c>
      <c r="G726" s="7" t="s">
        <v>2574</v>
      </c>
      <c r="H726" s="9" t="s">
        <v>2575</v>
      </c>
      <c r="I726" s="8" t="s">
        <v>2611</v>
      </c>
      <c r="J726" s="7" t="n">
        <v>0.39</v>
      </c>
      <c r="K726" s="7"/>
      <c r="L726" s="7" t="s">
        <v>26</v>
      </c>
      <c r="M726" s="8"/>
      <c r="N726" s="7" t="s">
        <v>27</v>
      </c>
      <c r="O726" s="8" t="s">
        <v>2599</v>
      </c>
    </row>
    <row r="727" customFormat="false" ht="60" hidden="false" customHeight="true" outlineLevel="0" collapsed="false">
      <c r="A727" s="4" t="s">
        <v>2612</v>
      </c>
      <c r="B727" s="5" t="s">
        <v>2499</v>
      </c>
      <c r="C727" s="5" t="s">
        <v>2597</v>
      </c>
      <c r="D727" s="5" t="s">
        <v>235</v>
      </c>
      <c r="E727" s="5" t="s">
        <v>236</v>
      </c>
      <c r="F727" s="4" t="s">
        <v>58</v>
      </c>
      <c r="G727" s="4" t="s">
        <v>2574</v>
      </c>
      <c r="H727" s="6" t="s">
        <v>2575</v>
      </c>
      <c r="I727" s="5" t="s">
        <v>2613</v>
      </c>
      <c r="J727" s="4" t="n">
        <v>0.3</v>
      </c>
      <c r="K727" s="4"/>
      <c r="L727" s="4" t="s">
        <v>26</v>
      </c>
      <c r="M727" s="5"/>
      <c r="N727" s="4" t="s">
        <v>27</v>
      </c>
      <c r="O727" s="5" t="s">
        <v>2599</v>
      </c>
    </row>
    <row r="728" customFormat="false" ht="60" hidden="false" customHeight="true" outlineLevel="0" collapsed="false">
      <c r="A728" s="7" t="s">
        <v>2614</v>
      </c>
      <c r="B728" s="8" t="s">
        <v>2499</v>
      </c>
      <c r="C728" s="8" t="s">
        <v>2597</v>
      </c>
      <c r="D728" s="8" t="s">
        <v>239</v>
      </c>
      <c r="E728" s="8" t="s">
        <v>240</v>
      </c>
      <c r="F728" s="7" t="s">
        <v>67</v>
      </c>
      <c r="G728" s="7" t="s">
        <v>2574</v>
      </c>
      <c r="H728" s="9" t="s">
        <v>2575</v>
      </c>
      <c r="I728" s="8" t="s">
        <v>2615</v>
      </c>
      <c r="J728" s="7" t="n">
        <v>0.17</v>
      </c>
      <c r="K728" s="7"/>
      <c r="L728" s="7" t="s">
        <v>26</v>
      </c>
      <c r="M728" s="8"/>
      <c r="N728" s="7" t="s">
        <v>27</v>
      </c>
      <c r="O728" s="8" t="s">
        <v>2599</v>
      </c>
    </row>
    <row r="729" customFormat="false" ht="60" hidden="false" customHeight="true" outlineLevel="0" collapsed="false">
      <c r="A729" s="4" t="s">
        <v>2616</v>
      </c>
      <c r="B729" s="5" t="s">
        <v>2499</v>
      </c>
      <c r="C729" s="5" t="s">
        <v>2597</v>
      </c>
      <c r="D729" s="5" t="s">
        <v>243</v>
      </c>
      <c r="E729" s="5" t="s">
        <v>244</v>
      </c>
      <c r="F729" s="4" t="s">
        <v>76</v>
      </c>
      <c r="G729" s="4" t="s">
        <v>2574</v>
      </c>
      <c r="H729" s="6" t="s">
        <v>2575</v>
      </c>
      <c r="I729" s="5" t="s">
        <v>2617</v>
      </c>
      <c r="J729" s="4" t="n">
        <v>0.51</v>
      </c>
      <c r="K729" s="4"/>
      <c r="L729" s="4" t="s">
        <v>26</v>
      </c>
      <c r="M729" s="5"/>
      <c r="N729" s="4" t="s">
        <v>27</v>
      </c>
      <c r="O729" s="5" t="s">
        <v>2599</v>
      </c>
    </row>
    <row r="730" customFormat="false" ht="60" hidden="false" customHeight="true" outlineLevel="0" collapsed="false">
      <c r="A730" s="7" t="s">
        <v>2618</v>
      </c>
      <c r="B730" s="8" t="s">
        <v>2499</v>
      </c>
      <c r="C730" s="8" t="s">
        <v>2619</v>
      </c>
      <c r="D730" s="8" t="s">
        <v>206</v>
      </c>
      <c r="E730" s="8" t="s">
        <v>207</v>
      </c>
      <c r="F730" s="7" t="s">
        <v>22</v>
      </c>
      <c r="G730" s="7" t="s">
        <v>2574</v>
      </c>
      <c r="H730" s="9" t="s">
        <v>2575</v>
      </c>
      <c r="I730" s="8" t="s">
        <v>2620</v>
      </c>
      <c r="J730" s="7" t="n">
        <v>0.94</v>
      </c>
      <c r="K730" s="7"/>
      <c r="L730" s="7" t="s">
        <v>26</v>
      </c>
      <c r="M730" s="8"/>
      <c r="N730" s="7" t="s">
        <v>27</v>
      </c>
      <c r="O730" s="8" t="s">
        <v>2621</v>
      </c>
    </row>
    <row r="731" customFormat="false" ht="60" hidden="false" customHeight="true" outlineLevel="0" collapsed="false">
      <c r="A731" s="4" t="s">
        <v>2622</v>
      </c>
      <c r="B731" s="5" t="s">
        <v>2499</v>
      </c>
      <c r="C731" s="5" t="s">
        <v>2619</v>
      </c>
      <c r="D731" s="5" t="s">
        <v>211</v>
      </c>
      <c r="E731" s="5" t="s">
        <v>212</v>
      </c>
      <c r="F731" s="4" t="s">
        <v>22</v>
      </c>
      <c r="G731" s="4" t="s">
        <v>2574</v>
      </c>
      <c r="H731" s="6" t="s">
        <v>2575</v>
      </c>
      <c r="I731" s="5" t="s">
        <v>2623</v>
      </c>
      <c r="J731" s="4" t="n">
        <v>0.75</v>
      </c>
      <c r="K731" s="4"/>
      <c r="L731" s="4" t="s">
        <v>26</v>
      </c>
      <c r="M731" s="5"/>
      <c r="N731" s="4" t="s">
        <v>27</v>
      </c>
      <c r="O731" s="5" t="s">
        <v>2621</v>
      </c>
    </row>
    <row r="732" customFormat="false" ht="60" hidden="false" customHeight="true" outlineLevel="0" collapsed="false">
      <c r="A732" s="7" t="s">
        <v>2624</v>
      </c>
      <c r="B732" s="8" t="s">
        <v>2499</v>
      </c>
      <c r="C732" s="8" t="s">
        <v>2619</v>
      </c>
      <c r="D732" s="8" t="s">
        <v>215</v>
      </c>
      <c r="E732" s="8" t="s">
        <v>216</v>
      </c>
      <c r="F732" s="7" t="s">
        <v>36</v>
      </c>
      <c r="G732" s="7" t="s">
        <v>2574</v>
      </c>
      <c r="H732" s="9" t="s">
        <v>2575</v>
      </c>
      <c r="I732" s="8" t="s">
        <v>2625</v>
      </c>
      <c r="J732" s="7" t="n">
        <v>0.81</v>
      </c>
      <c r="K732" s="7"/>
      <c r="L732" s="7" t="s">
        <v>26</v>
      </c>
      <c r="M732" s="8"/>
      <c r="N732" s="7" t="s">
        <v>27</v>
      </c>
      <c r="O732" s="8" t="s">
        <v>2621</v>
      </c>
    </row>
    <row r="733" customFormat="false" ht="60" hidden="false" customHeight="true" outlineLevel="0" collapsed="false">
      <c r="A733" s="4" t="s">
        <v>2626</v>
      </c>
      <c r="B733" s="5" t="s">
        <v>2499</v>
      </c>
      <c r="C733" s="5" t="s">
        <v>2619</v>
      </c>
      <c r="D733" s="5" t="s">
        <v>219</v>
      </c>
      <c r="E733" s="5" t="s">
        <v>220</v>
      </c>
      <c r="F733" s="4" t="s">
        <v>36</v>
      </c>
      <c r="G733" s="4" t="s">
        <v>2574</v>
      </c>
      <c r="H733" s="6" t="s">
        <v>2575</v>
      </c>
      <c r="I733" s="5" t="s">
        <v>2627</v>
      </c>
      <c r="J733" s="4" t="n">
        <v>2.19</v>
      </c>
      <c r="K733" s="4"/>
      <c r="L733" s="4" t="s">
        <v>26</v>
      </c>
      <c r="M733" s="5"/>
      <c r="N733" s="4" t="s">
        <v>27</v>
      </c>
      <c r="O733" s="5" t="s">
        <v>2621</v>
      </c>
    </row>
    <row r="734" customFormat="false" ht="60" hidden="false" customHeight="true" outlineLevel="0" collapsed="false">
      <c r="A734" s="7" t="s">
        <v>2628</v>
      </c>
      <c r="B734" s="8" t="s">
        <v>2499</v>
      </c>
      <c r="C734" s="8" t="s">
        <v>2619</v>
      </c>
      <c r="D734" s="8" t="s">
        <v>223</v>
      </c>
      <c r="E734" s="8" t="s">
        <v>224</v>
      </c>
      <c r="F734" s="7" t="s">
        <v>36</v>
      </c>
      <c r="G734" s="7" t="s">
        <v>2574</v>
      </c>
      <c r="H734" s="9" t="s">
        <v>2575</v>
      </c>
      <c r="I734" s="8" t="s">
        <v>2629</v>
      </c>
      <c r="J734" s="7" t="n">
        <v>0.94</v>
      </c>
      <c r="K734" s="7"/>
      <c r="L734" s="7" t="s">
        <v>26</v>
      </c>
      <c r="M734" s="8"/>
      <c r="N734" s="7" t="s">
        <v>27</v>
      </c>
      <c r="O734" s="8" t="s">
        <v>2621</v>
      </c>
    </row>
    <row r="735" customFormat="false" ht="60" hidden="false" customHeight="true" outlineLevel="0" collapsed="false">
      <c r="A735" s="4" t="s">
        <v>2630</v>
      </c>
      <c r="B735" s="5" t="s">
        <v>2499</v>
      </c>
      <c r="C735" s="5" t="s">
        <v>2619</v>
      </c>
      <c r="D735" s="5" t="s">
        <v>227</v>
      </c>
      <c r="E735" s="5" t="s">
        <v>228</v>
      </c>
      <c r="F735" s="4" t="s">
        <v>67</v>
      </c>
      <c r="G735" s="4" t="s">
        <v>2574</v>
      </c>
      <c r="H735" s="6" t="s">
        <v>2575</v>
      </c>
      <c r="I735" s="5" t="s">
        <v>2631</v>
      </c>
      <c r="J735" s="4" t="n">
        <v>0.63</v>
      </c>
      <c r="K735" s="4"/>
      <c r="L735" s="4" t="s">
        <v>26</v>
      </c>
      <c r="M735" s="5"/>
      <c r="N735" s="4" t="s">
        <v>27</v>
      </c>
      <c r="O735" s="5" t="s">
        <v>2621</v>
      </c>
    </row>
    <row r="736" customFormat="false" ht="60" hidden="false" customHeight="true" outlineLevel="0" collapsed="false">
      <c r="A736" s="7" t="s">
        <v>2632</v>
      </c>
      <c r="B736" s="8" t="s">
        <v>2499</v>
      </c>
      <c r="C736" s="8" t="s">
        <v>2619</v>
      </c>
      <c r="D736" s="8" t="s">
        <v>231</v>
      </c>
      <c r="E736" s="8" t="s">
        <v>232</v>
      </c>
      <c r="F736" s="7" t="s">
        <v>53</v>
      </c>
      <c r="G736" s="7" t="s">
        <v>2574</v>
      </c>
      <c r="H736" s="9" t="s">
        <v>2575</v>
      </c>
      <c r="I736" s="8" t="s">
        <v>2633</v>
      </c>
      <c r="J736" s="7" t="n">
        <v>3.46</v>
      </c>
      <c r="K736" s="7"/>
      <c r="L736" s="7" t="s">
        <v>26</v>
      </c>
      <c r="M736" s="8"/>
      <c r="N736" s="7" t="s">
        <v>27</v>
      </c>
      <c r="O736" s="8" t="s">
        <v>2621</v>
      </c>
    </row>
    <row r="737" customFormat="false" ht="60" hidden="false" customHeight="true" outlineLevel="0" collapsed="false">
      <c r="A737" s="4" t="s">
        <v>2634</v>
      </c>
      <c r="B737" s="5" t="s">
        <v>2499</v>
      </c>
      <c r="C737" s="5" t="s">
        <v>2619</v>
      </c>
      <c r="D737" s="5" t="s">
        <v>235</v>
      </c>
      <c r="E737" s="5" t="s">
        <v>236</v>
      </c>
      <c r="F737" s="4" t="s">
        <v>58</v>
      </c>
      <c r="G737" s="4" t="s">
        <v>2574</v>
      </c>
      <c r="H737" s="6" t="s">
        <v>2575</v>
      </c>
      <c r="I737" s="5" t="s">
        <v>2635</v>
      </c>
      <c r="J737" s="4" t="n">
        <v>2.69</v>
      </c>
      <c r="K737" s="4"/>
      <c r="L737" s="4" t="s">
        <v>26</v>
      </c>
      <c r="M737" s="5"/>
      <c r="N737" s="4" t="s">
        <v>27</v>
      </c>
      <c r="O737" s="5" t="s">
        <v>2621</v>
      </c>
    </row>
    <row r="738" customFormat="false" ht="60" hidden="false" customHeight="true" outlineLevel="0" collapsed="false">
      <c r="A738" s="7" t="s">
        <v>2636</v>
      </c>
      <c r="B738" s="8" t="s">
        <v>2499</v>
      </c>
      <c r="C738" s="8" t="s">
        <v>2619</v>
      </c>
      <c r="D738" s="8" t="s">
        <v>239</v>
      </c>
      <c r="E738" s="8" t="s">
        <v>240</v>
      </c>
      <c r="F738" s="7" t="s">
        <v>67</v>
      </c>
      <c r="G738" s="7" t="s">
        <v>2574</v>
      </c>
      <c r="H738" s="9" t="s">
        <v>2575</v>
      </c>
      <c r="I738" s="8" t="s">
        <v>2637</v>
      </c>
      <c r="J738" s="7" t="n">
        <v>1.54</v>
      </c>
      <c r="K738" s="7"/>
      <c r="L738" s="7" t="s">
        <v>26</v>
      </c>
      <c r="M738" s="8"/>
      <c r="N738" s="7" t="s">
        <v>27</v>
      </c>
      <c r="O738" s="8" t="s">
        <v>2621</v>
      </c>
    </row>
    <row r="739" customFormat="false" ht="60" hidden="false" customHeight="true" outlineLevel="0" collapsed="false">
      <c r="A739" s="4" t="s">
        <v>2638</v>
      </c>
      <c r="B739" s="5" t="s">
        <v>2499</v>
      </c>
      <c r="C739" s="5" t="s">
        <v>2619</v>
      </c>
      <c r="D739" s="5" t="s">
        <v>243</v>
      </c>
      <c r="E739" s="5" t="s">
        <v>244</v>
      </c>
      <c r="F739" s="4" t="s">
        <v>76</v>
      </c>
      <c r="G739" s="4" t="s">
        <v>2574</v>
      </c>
      <c r="H739" s="6" t="s">
        <v>2575</v>
      </c>
      <c r="I739" s="5" t="s">
        <v>2639</v>
      </c>
      <c r="J739" s="4" t="n">
        <v>1.03</v>
      </c>
      <c r="K739" s="4"/>
      <c r="L739" s="4" t="s">
        <v>26</v>
      </c>
      <c r="M739" s="5"/>
      <c r="N739" s="4" t="s">
        <v>27</v>
      </c>
      <c r="O739" s="5" t="s">
        <v>2621</v>
      </c>
    </row>
    <row r="740" customFormat="false" ht="19.5" hidden="false" customHeight="true" outlineLevel="0" collapsed="false">
      <c r="A740" s="10"/>
      <c r="B740" s="10"/>
      <c r="C740" s="10"/>
      <c r="D740" s="10"/>
      <c r="E740" s="10"/>
      <c r="F740" s="10"/>
      <c r="G740" s="10"/>
      <c r="H740" s="10"/>
      <c r="I740" s="11" t="s">
        <v>2640</v>
      </c>
      <c r="J740" s="12" t="n">
        <f aca="false">SUM(J5:J739)</f>
        <v>837.23</v>
      </c>
      <c r="K740" s="12" t="n">
        <f aca="false">SUM(K5:K739)</f>
        <v>0</v>
      </c>
      <c r="L740" s="10"/>
      <c r="M740" s="10"/>
      <c r="N740" s="10"/>
      <c r="O740" s="10"/>
    </row>
  </sheetData>
  <autoFilter ref="A4:O739"/>
  <mergeCells count="2">
    <mergeCell ref="A1:O1"/>
    <mergeCell ref="A2:O2"/>
  </mergeCells>
  <conditionalFormatting sqref="N5:N739">
    <cfRule type="cellIs" priority="2" operator="equal" aboveAverage="0" equalAverage="0" bottom="0" percent="0" rank="0" text="" dxfId="10">
      <formula>"Completed"</formula>
    </cfRule>
    <cfRule type="cellIs" priority="3" operator="equal" aboveAverage="0" equalAverage="0" bottom="0" percent="0" rank="0" text="" dxfId="11">
      <formula>"In Progress"</formula>
    </cfRule>
    <cfRule type="cellIs" priority="4" operator="equal" aboveAverage="0" equalAverage="0" bottom="0" percent="0" rank="0" text="" dxfId="12">
      <formula>"Blocked"</formula>
    </cfRule>
    <cfRule type="cellIs" priority="5" operator="equal" aboveAverage="0" equalAverage="0" bottom="0" percent="0" rank="0" text="" dxfId="13">
      <formula>"Not Started"</formula>
    </cfRule>
  </conditionalFormatting>
  <conditionalFormatting sqref="L5:L739">
    <cfRule type="cellIs" priority="6" operator="equal" aboveAverage="0" equalAverage="0" bottom="0" percent="0" rank="0" text="" dxfId="12">
      <formula>"High"</formula>
    </cfRule>
    <cfRule type="cellIs" priority="7" operator="equal" aboveAverage="0" equalAverage="0" bottom="0" percent="0" rank="0" text="" dxfId="14">
      <formula>"Medium"</formula>
    </cfRule>
    <cfRule type="cellIs" priority="8" operator="equal" aboveAverage="0" equalAverage="0" bottom="0" percent="0" rank="0" text="" dxfId="10">
      <formula>"Low"</formula>
    </cfRule>
  </conditionalFormatting>
  <conditionalFormatting sqref="F5:F739">
    <cfRule type="cellIs" priority="9" operator="equal" aboveAverage="0" equalAverage="0" bottom="0" percent="0" rank="0" text="" dxfId="11">
      <formula>"Database"</formula>
    </cfRule>
    <cfRule type="cellIs" priority="10" operator="equal" aboveAverage="0" equalAverage="0" bottom="0" percent="0" rank="0" text="" dxfId="15">
      <formula>"Backend"</formula>
    </cfRule>
    <cfRule type="cellIs" priority="11" operator="equal" aboveAverage="0" equalAverage="0" bottom="0" percent="0" rank="0" text="" dxfId="16">
      <formula>"Frontend"</formula>
    </cfRule>
    <cfRule type="cellIs" priority="12" operator="equal" aboveAverage="0" equalAverage="0" bottom="0" percent="0" rank="0" text="" dxfId="14">
      <formula>"Integration"</formula>
    </cfRule>
    <cfRule type="cellIs" priority="13" operator="equal" aboveAverage="0" equalAverage="0" bottom="0" percent="0" rank="0" text="" dxfId="10">
      <formula>"Testing"</formula>
    </cfRule>
    <cfRule type="cellIs" priority="14" operator="equal" aboveAverage="0" equalAverage="0" bottom="0" percent="0" rank="0" text="" dxfId="13">
      <formula>"Review/Deployment"</formula>
    </cfRule>
  </conditionalFormatting>
  <dataValidations count="3">
    <dataValidation allowBlank="false" errorStyle="stop" operator="between" showDropDown="false" showErrorMessage="false" showInputMessage="false" sqref="N5:N739" type="list">
      <formula1>"Not Started,In Progress,Completed,Blocked"</formula1>
      <formula2>0</formula2>
    </dataValidation>
    <dataValidation allowBlank="false" errorStyle="stop" operator="between" showDropDown="false" showErrorMessage="false" showInputMessage="false" sqref="L5:L739" type="list">
      <formula1>"High,Medium,Low"</formula1>
      <formula2>0</formula2>
    </dataValidation>
    <dataValidation allowBlank="false" errorStyle="stop" operator="between" showDropDown="false" showErrorMessage="false" showInputMessage="false" sqref="F5:F739" type="list">
      <formula1>"Database,Backend,Frontend,Integration,Testing,Review/Deployment"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5" min="2" style="0" width="12"/>
    <col collapsed="false" customWidth="true" hidden="false" outlineLevel="0" max="6" min="6" style="0" width="10"/>
    <col collapsed="false" customWidth="true" hidden="false" outlineLevel="0" max="7" min="7" style="0" width="16"/>
  </cols>
  <sheetData>
    <row r="1" customFormat="false" ht="24" hidden="false" customHeight="true" outlineLevel="0" collapsed="false">
      <c r="A1" s="1" t="s">
        <v>2641</v>
      </c>
      <c r="B1" s="1"/>
      <c r="C1" s="1"/>
      <c r="D1" s="1"/>
      <c r="E1" s="1"/>
      <c r="F1" s="1"/>
    </row>
    <row r="2" customFormat="false" ht="24" hidden="false" customHeight="true" outlineLevel="0" collapsed="false">
      <c r="A2" s="2" t="s">
        <v>2642</v>
      </c>
      <c r="B2" s="2"/>
      <c r="C2" s="2"/>
      <c r="D2" s="2"/>
      <c r="E2" s="2"/>
      <c r="F2" s="2"/>
    </row>
    <row r="4" customFormat="false" ht="27.75" hidden="false" customHeight="true" outlineLevel="0" collapsed="false">
      <c r="A4" s="3" t="s">
        <v>7</v>
      </c>
      <c r="B4" s="3" t="s">
        <v>2643</v>
      </c>
      <c r="C4" s="3" t="s">
        <v>27</v>
      </c>
      <c r="D4" s="3" t="s">
        <v>2644</v>
      </c>
      <c r="E4" s="3" t="s">
        <v>2645</v>
      </c>
      <c r="F4" s="3" t="s">
        <v>2646</v>
      </c>
      <c r="G4" s="3" t="s">
        <v>2647</v>
      </c>
    </row>
    <row r="5" customFormat="false" ht="15" hidden="false" customHeight="false" outlineLevel="0" collapsed="false">
      <c r="A5" s="4" t="s">
        <v>22</v>
      </c>
      <c r="B5" s="4" t="n">
        <f aca="false">COUNTIF('Project Tracker'!$F$5:$F$739,A5)</f>
        <v>146</v>
      </c>
      <c r="C5" s="4" t="n">
        <f aca="false">COUNTIFS('Project Tracker'!$F$5:$F$739,A5,'Project Tracker'!$N$5:$N$739,"Not Started")</f>
        <v>146</v>
      </c>
      <c r="D5" s="4" t="n">
        <f aca="false">COUNTIFS('Project Tracker'!$F$5:$F$739,A5,'Project Tracker'!$N$5:$N$739,"In Progress")</f>
        <v>0</v>
      </c>
      <c r="E5" s="4" t="n">
        <f aca="false">COUNTIFS('Project Tracker'!$F$5:$F$739,A5,'Project Tracker'!$N$5:$N$739,"Completed")</f>
        <v>0</v>
      </c>
      <c r="F5" s="4" t="n">
        <f aca="false">COUNTIFS('Project Tracker'!$F$5:$F$739,A5,'Project Tracker'!$N$5:$N$739,"Blocked")</f>
        <v>0</v>
      </c>
      <c r="G5" s="4" t="n">
        <f aca="false">SUMIF('Project Tracker'!$F$5:$F$739,A5,'Project Tracker'!$J$5:$J$739)</f>
        <v>164.31</v>
      </c>
    </row>
    <row r="6" customFormat="false" ht="15" hidden="false" customHeight="false" outlineLevel="0" collapsed="false">
      <c r="A6" s="4" t="s">
        <v>36</v>
      </c>
      <c r="B6" s="4" t="n">
        <f aca="false">COUNTIF('Project Tracker'!$F$5:$F$739,A6)</f>
        <v>223</v>
      </c>
      <c r="C6" s="4" t="n">
        <f aca="false">COUNTIFS('Project Tracker'!$F$5:$F$739,A6,'Project Tracker'!$N$5:$N$739,"Not Started")</f>
        <v>223</v>
      </c>
      <c r="D6" s="4" t="n">
        <f aca="false">COUNTIFS('Project Tracker'!$F$5:$F$739,A6,'Project Tracker'!$N$5:$N$739,"In Progress")</f>
        <v>0</v>
      </c>
      <c r="E6" s="4" t="n">
        <f aca="false">COUNTIFS('Project Tracker'!$F$5:$F$739,A6,'Project Tracker'!$N$5:$N$739,"Completed")</f>
        <v>0</v>
      </c>
      <c r="F6" s="4" t="n">
        <f aca="false">COUNTIFS('Project Tracker'!$F$5:$F$739,A6,'Project Tracker'!$N$5:$N$739,"Blocked")</f>
        <v>0</v>
      </c>
      <c r="G6" s="4" t="n">
        <f aca="false">SUMIF('Project Tracker'!$F$5:$F$739,A6,'Project Tracker'!$J$5:$J$739)</f>
        <v>387.01</v>
      </c>
    </row>
    <row r="7" customFormat="false" ht="15" hidden="false" customHeight="false" outlineLevel="0" collapsed="false">
      <c r="A7" s="4" t="s">
        <v>53</v>
      </c>
      <c r="B7" s="4" t="n">
        <f aca="false">COUNTIF('Project Tracker'!$F$5:$F$739,A7)</f>
        <v>73</v>
      </c>
      <c r="C7" s="4" t="n">
        <f aca="false">COUNTIFS('Project Tracker'!$F$5:$F$739,A7,'Project Tracker'!$N$5:$N$739,"Not Started")</f>
        <v>73</v>
      </c>
      <c r="D7" s="4" t="n">
        <f aca="false">COUNTIFS('Project Tracker'!$F$5:$F$739,A7,'Project Tracker'!$N$5:$N$739,"In Progress")</f>
        <v>0</v>
      </c>
      <c r="E7" s="4" t="n">
        <f aca="false">COUNTIFS('Project Tracker'!$F$5:$F$739,A7,'Project Tracker'!$N$5:$N$739,"Completed")</f>
        <v>0</v>
      </c>
      <c r="F7" s="4" t="n">
        <f aca="false">COUNTIFS('Project Tracker'!$F$5:$F$739,A7,'Project Tracker'!$N$5:$N$739,"Blocked")</f>
        <v>0</v>
      </c>
      <c r="G7" s="4" t="n">
        <f aca="false">SUMIF('Project Tracker'!$F$5:$F$739,A7,'Project Tracker'!$J$5:$J$739)</f>
        <v>76.57</v>
      </c>
    </row>
    <row r="8" customFormat="false" ht="15" hidden="false" customHeight="false" outlineLevel="0" collapsed="false">
      <c r="A8" s="4" t="s">
        <v>58</v>
      </c>
      <c r="B8" s="4" t="n">
        <f aca="false">COUNTIF('Project Tracker'!$F$5:$F$739,A8)</f>
        <v>74</v>
      </c>
      <c r="C8" s="4" t="n">
        <f aca="false">COUNTIFS('Project Tracker'!$F$5:$F$739,A8,'Project Tracker'!$N$5:$N$739,"Not Started")</f>
        <v>74</v>
      </c>
      <c r="D8" s="4" t="n">
        <f aca="false">COUNTIFS('Project Tracker'!$F$5:$F$739,A8,'Project Tracker'!$N$5:$N$739,"In Progress")</f>
        <v>0</v>
      </c>
      <c r="E8" s="4" t="n">
        <f aca="false">COUNTIFS('Project Tracker'!$F$5:$F$739,A8,'Project Tracker'!$N$5:$N$739,"Completed")</f>
        <v>0</v>
      </c>
      <c r="F8" s="4" t="n">
        <f aca="false">COUNTIFS('Project Tracker'!$F$5:$F$739,A8,'Project Tracker'!$N$5:$N$739,"Blocked")</f>
        <v>0</v>
      </c>
      <c r="G8" s="4" t="n">
        <f aca="false">SUMIF('Project Tracker'!$F$5:$F$739,A8,'Project Tracker'!$J$5:$J$739)</f>
        <v>60.29</v>
      </c>
    </row>
    <row r="9" customFormat="false" ht="15" hidden="false" customHeight="false" outlineLevel="0" collapsed="false">
      <c r="A9" s="4" t="s">
        <v>67</v>
      </c>
      <c r="B9" s="4" t="n">
        <f aca="false">COUNTIF('Project Tracker'!$F$5:$F$739,A9)</f>
        <v>146</v>
      </c>
      <c r="C9" s="4" t="n">
        <f aca="false">COUNTIFS('Project Tracker'!$F$5:$F$739,A9,'Project Tracker'!$N$5:$N$739,"Not Started")</f>
        <v>146</v>
      </c>
      <c r="D9" s="4" t="n">
        <f aca="false">COUNTIFS('Project Tracker'!$F$5:$F$739,A9,'Project Tracker'!$N$5:$N$739,"In Progress")</f>
        <v>0</v>
      </c>
      <c r="E9" s="4" t="n">
        <f aca="false">COUNTIFS('Project Tracker'!$F$5:$F$739,A9,'Project Tracker'!$N$5:$N$739,"Completed")</f>
        <v>0</v>
      </c>
      <c r="F9" s="4" t="n">
        <f aca="false">COUNTIFS('Project Tracker'!$F$5:$F$739,A9,'Project Tracker'!$N$5:$N$739,"Blocked")</f>
        <v>0</v>
      </c>
      <c r="G9" s="4" t="n">
        <f aca="false">SUMIF('Project Tracker'!$F$5:$F$739,A9,'Project Tracker'!$J$5:$J$739)</f>
        <v>94.76</v>
      </c>
    </row>
    <row r="10" customFormat="false" ht="15" hidden="false" customHeight="false" outlineLevel="0" collapsed="false">
      <c r="A10" s="4" t="s">
        <v>76</v>
      </c>
      <c r="B10" s="4" t="n">
        <f aca="false">COUNTIF('Project Tracker'!$F$5:$F$739,A10)</f>
        <v>73</v>
      </c>
      <c r="C10" s="4" t="n">
        <f aca="false">COUNTIFS('Project Tracker'!$F$5:$F$739,A10,'Project Tracker'!$N$5:$N$739,"Not Started")</f>
        <v>73</v>
      </c>
      <c r="D10" s="4" t="n">
        <f aca="false">COUNTIFS('Project Tracker'!$F$5:$F$739,A10,'Project Tracker'!$N$5:$N$739,"In Progress")</f>
        <v>0</v>
      </c>
      <c r="E10" s="4" t="n">
        <f aca="false">COUNTIFS('Project Tracker'!$F$5:$F$739,A10,'Project Tracker'!$N$5:$N$739,"Completed")</f>
        <v>0</v>
      </c>
      <c r="F10" s="4" t="n">
        <f aca="false">COUNTIFS('Project Tracker'!$F$5:$F$739,A10,'Project Tracker'!$N$5:$N$739,"Blocked")</f>
        <v>0</v>
      </c>
      <c r="G10" s="4" t="n">
        <f aca="false">SUMIF('Project Tracker'!$F$5:$F$739,A10,'Project Tracker'!$J$5:$J$739)</f>
        <v>54.29</v>
      </c>
    </row>
    <row r="11" customFormat="false" ht="15" hidden="false" customHeight="false" outlineLevel="0" collapsed="false">
      <c r="A11" s="12" t="s">
        <v>2648</v>
      </c>
      <c r="B11" s="12" t="n">
        <f aca="false">SUM(B5:B10)</f>
        <v>735</v>
      </c>
      <c r="C11" s="12" t="n">
        <f aca="false">SUM(C5:C10)</f>
        <v>735</v>
      </c>
      <c r="D11" s="12" t="n">
        <f aca="false">SUM(D5:D10)</f>
        <v>0</v>
      </c>
      <c r="E11" s="12" t="n">
        <f aca="false">SUM(E5:E10)</f>
        <v>0</v>
      </c>
      <c r="F11" s="12" t="n">
        <f aca="false">SUM(F5:F10)</f>
        <v>0</v>
      </c>
      <c r="G11" s="12" t="n">
        <f aca="false">SUM(G5:G10)</f>
        <v>837.23</v>
      </c>
    </row>
    <row r="14" customFormat="false" ht="15" hidden="false" customHeight="false" outlineLevel="0" collapsed="false">
      <c r="A14" s="2" t="s">
        <v>2649</v>
      </c>
      <c r="B14" s="2"/>
      <c r="C14" s="2"/>
      <c r="D14" s="2"/>
      <c r="E14" s="2"/>
      <c r="F14" s="2"/>
      <c r="G14" s="2"/>
    </row>
  </sheetData>
  <mergeCells count="3">
    <mergeCell ref="A1:F1"/>
    <mergeCell ref="A2:F2"/>
    <mergeCell ref="A14:G1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42"/>
    <col collapsed="false" customWidth="true" hidden="false" outlineLevel="0" max="3" min="3" style="0" width="10"/>
    <col collapsed="false" customWidth="true" hidden="false" outlineLevel="0" max="4" min="4" style="0" width="30"/>
    <col collapsed="false" customWidth="true" hidden="false" outlineLevel="0" max="5" min="5" style="0" width="14"/>
    <col collapsed="false" customWidth="true" hidden="false" outlineLevel="0" max="7" min="6" style="0" width="16"/>
  </cols>
  <sheetData>
    <row r="1" customFormat="false" ht="24" hidden="false" customHeight="true" outlineLevel="0" collapsed="false">
      <c r="A1" s="1" t="s">
        <v>2650</v>
      </c>
      <c r="B1" s="1"/>
      <c r="C1" s="1"/>
      <c r="D1" s="1"/>
      <c r="E1" s="1"/>
      <c r="F1" s="1"/>
      <c r="G1" s="1"/>
    </row>
    <row r="2" customFormat="false" ht="18" hidden="false" customHeight="true" outlineLevel="0" collapsed="false">
      <c r="A2" s="2" t="s">
        <v>2651</v>
      </c>
      <c r="B2" s="2"/>
      <c r="C2" s="2"/>
      <c r="D2" s="2"/>
      <c r="E2" s="2"/>
      <c r="F2" s="2"/>
      <c r="G2" s="2"/>
    </row>
    <row r="4" customFormat="false" ht="27.75" hidden="false" customHeight="true" outlineLevel="0" collapsed="false">
      <c r="A4" s="3" t="s">
        <v>2652</v>
      </c>
      <c r="B4" s="3" t="s">
        <v>2653</v>
      </c>
      <c r="C4" s="3" t="s">
        <v>13</v>
      </c>
      <c r="D4" s="3" t="s">
        <v>2654</v>
      </c>
      <c r="E4" s="3" t="s">
        <v>2655</v>
      </c>
      <c r="F4" s="3" t="s">
        <v>2656</v>
      </c>
      <c r="G4" s="3" t="s">
        <v>2657</v>
      </c>
    </row>
    <row r="5" customFormat="false" ht="22.35" hidden="false" customHeight="false" outlineLevel="0" collapsed="false">
      <c r="A5" s="4" t="s">
        <v>2658</v>
      </c>
      <c r="B5" s="5" t="s">
        <v>2659</v>
      </c>
      <c r="C5" s="4" t="s">
        <v>26</v>
      </c>
      <c r="D5" s="4" t="s">
        <v>2660</v>
      </c>
      <c r="E5" s="4" t="s">
        <v>2661</v>
      </c>
      <c r="F5" s="4" t="n">
        <f aca="false">SUMIF('Project Tracker'!$B$5:$B$739,"EP01*",'Project Tracker'!$J$5:$J$739)</f>
        <v>54.09</v>
      </c>
      <c r="G5" s="13" t="n">
        <f aca="false">F5/$F$19</f>
        <v>0.0646059027985141</v>
      </c>
    </row>
    <row r="6" customFormat="false" ht="15" hidden="false" customHeight="false" outlineLevel="0" collapsed="false">
      <c r="A6" s="7" t="s">
        <v>2662</v>
      </c>
      <c r="B6" s="8" t="s">
        <v>2663</v>
      </c>
      <c r="C6" s="7" t="s">
        <v>26</v>
      </c>
      <c r="D6" s="7" t="s">
        <v>2658</v>
      </c>
      <c r="E6" s="7" t="s">
        <v>2664</v>
      </c>
      <c r="F6" s="7" t="n">
        <f aca="false">SUMIF('Project Tracker'!$B$5:$B$739,"EP02*",'Project Tracker'!$J$5:$J$739)</f>
        <v>91.91</v>
      </c>
      <c r="G6" s="14" t="n">
        <f aca="false">F6/$F$19</f>
        <v>0.109778674916092</v>
      </c>
    </row>
    <row r="7" customFormat="false" ht="15" hidden="false" customHeight="false" outlineLevel="0" collapsed="false">
      <c r="A7" s="4" t="s">
        <v>2665</v>
      </c>
      <c r="B7" s="5" t="s">
        <v>2666</v>
      </c>
      <c r="C7" s="4" t="s">
        <v>253</v>
      </c>
      <c r="D7" s="4" t="s">
        <v>2658</v>
      </c>
      <c r="E7" s="4" t="s">
        <v>2667</v>
      </c>
      <c r="F7" s="4" t="n">
        <f aca="false">SUMIF('Project Tracker'!$B$5:$B$739,"EP09*",'Project Tracker'!$J$5:$J$739)</f>
        <v>43.22</v>
      </c>
      <c r="G7" s="13" t="n">
        <f aca="false">F7/$F$19</f>
        <v>0.0516226126631869</v>
      </c>
    </row>
    <row r="8" customFormat="false" ht="15" hidden="false" customHeight="false" outlineLevel="0" collapsed="false">
      <c r="A8" s="7" t="s">
        <v>2668</v>
      </c>
      <c r="B8" s="8" t="s">
        <v>2669</v>
      </c>
      <c r="C8" s="7" t="s">
        <v>253</v>
      </c>
      <c r="D8" s="7" t="s">
        <v>2662</v>
      </c>
      <c r="E8" s="7" t="s">
        <v>648</v>
      </c>
      <c r="F8" s="7" t="n">
        <f aca="false">SUMIF('Project Tracker'!$B$5:$B$739,"EP03*",'Project Tracker'!$J$5:$J$739)</f>
        <v>48.53</v>
      </c>
      <c r="G8" s="14" t="n">
        <f aca="false">F8/$F$19</f>
        <v>0.0579649558663689</v>
      </c>
    </row>
    <row r="9" customFormat="false" ht="15" hidden="false" customHeight="false" outlineLevel="0" collapsed="false">
      <c r="A9" s="4" t="s">
        <v>2670</v>
      </c>
      <c r="B9" s="5" t="s">
        <v>2671</v>
      </c>
      <c r="C9" s="4" t="s">
        <v>253</v>
      </c>
      <c r="D9" s="4" t="s">
        <v>2672</v>
      </c>
      <c r="E9" s="4" t="s">
        <v>823</v>
      </c>
      <c r="F9" s="4" t="n">
        <f aca="false">SUMIF('Project Tracker'!$B$5:$B$739,"EP05*",'Project Tracker'!$J$5:$J$739)</f>
        <v>48.62</v>
      </c>
      <c r="G9" s="13" t="n">
        <f aca="false">F9/$F$19</f>
        <v>0.0580724532087957</v>
      </c>
    </row>
    <row r="10" customFormat="false" ht="15" hidden="false" customHeight="false" outlineLevel="0" collapsed="false">
      <c r="A10" s="7" t="s">
        <v>2673</v>
      </c>
      <c r="B10" s="8" t="s">
        <v>2674</v>
      </c>
      <c r="C10" s="7" t="s">
        <v>253</v>
      </c>
      <c r="D10" s="7" t="s">
        <v>2672</v>
      </c>
      <c r="E10" s="7" t="s">
        <v>996</v>
      </c>
      <c r="F10" s="7" t="n">
        <f aca="false">SUMIF('Project Tracker'!$B$5:$B$739,"EP04*",'Project Tracker'!$J$5:$J$739)</f>
        <v>54.11</v>
      </c>
      <c r="G10" s="14" t="n">
        <f aca="false">F10/$F$19</f>
        <v>0.0646297910968312</v>
      </c>
    </row>
    <row r="11" customFormat="false" ht="15" hidden="false" customHeight="false" outlineLevel="0" collapsed="false">
      <c r="A11" s="4" t="s">
        <v>2675</v>
      </c>
      <c r="B11" s="5" t="s">
        <v>2676</v>
      </c>
      <c r="C11" s="4" t="s">
        <v>26</v>
      </c>
      <c r="D11" s="4" t="s">
        <v>2677</v>
      </c>
      <c r="E11" s="4" t="s">
        <v>2678</v>
      </c>
      <c r="F11" s="4" t="n">
        <f aca="false">SUMIF('Project Tracker'!$B$5:$B$739,"EP06*",'Project Tracker'!$J$5:$J$739)</f>
        <v>70.32</v>
      </c>
      <c r="G11" s="13" t="n">
        <f aca="false">F11/$F$19</f>
        <v>0.083991256882816</v>
      </c>
    </row>
    <row r="12" customFormat="false" ht="15" hidden="false" customHeight="false" outlineLevel="0" collapsed="false">
      <c r="A12" s="7" t="s">
        <v>2679</v>
      </c>
      <c r="B12" s="8" t="s">
        <v>2680</v>
      </c>
      <c r="C12" s="7" t="s">
        <v>26</v>
      </c>
      <c r="D12" s="7" t="s">
        <v>2675</v>
      </c>
      <c r="E12" s="7" t="s">
        <v>2681</v>
      </c>
      <c r="F12" s="7" t="n">
        <f aca="false">SUMIF('Project Tracker'!$B$5:$B$739,"EP07*",'Project Tracker'!$J$5:$J$739)</f>
        <v>64.84</v>
      </c>
      <c r="G12" s="14" t="n">
        <f aca="false">F12/$F$19</f>
        <v>0.077445863143939</v>
      </c>
    </row>
    <row r="13" customFormat="false" ht="15" hidden="false" customHeight="false" outlineLevel="0" collapsed="false">
      <c r="A13" s="4" t="s">
        <v>2682</v>
      </c>
      <c r="B13" s="5" t="s">
        <v>2683</v>
      </c>
      <c r="C13" s="4" t="s">
        <v>253</v>
      </c>
      <c r="D13" s="4" t="s">
        <v>2684</v>
      </c>
      <c r="E13" s="4" t="s">
        <v>2685</v>
      </c>
      <c r="F13" s="4" t="n">
        <f aca="false">SUMIF('Project Tracker'!$B$5:$B$739,"EP08*",'Project Tracker'!$J$5:$J$739)</f>
        <v>70.12</v>
      </c>
      <c r="G13" s="13" t="n">
        <f aca="false">F13/$F$19</f>
        <v>0.0837523738996453</v>
      </c>
    </row>
    <row r="14" customFormat="false" ht="15" hidden="false" customHeight="false" outlineLevel="0" collapsed="false">
      <c r="A14" s="7" t="s">
        <v>2686</v>
      </c>
      <c r="B14" s="8" t="s">
        <v>2687</v>
      </c>
      <c r="C14" s="7" t="s">
        <v>253</v>
      </c>
      <c r="D14" s="7" t="s">
        <v>2688</v>
      </c>
      <c r="E14" s="7" t="s">
        <v>2689</v>
      </c>
      <c r="F14" s="7" t="n">
        <f aca="false">SUMIF('Project Tracker'!$B$5:$B$739,"EP13*",'Project Tracker'!$J$5:$J$739)</f>
        <v>58.96</v>
      </c>
      <c r="G14" s="14" t="n">
        <f aca="false">F14/$F$19</f>
        <v>0.0704227034387206</v>
      </c>
    </row>
    <row r="15" customFormat="false" ht="15" hidden="false" customHeight="false" outlineLevel="0" collapsed="false">
      <c r="A15" s="4" t="s">
        <v>2690</v>
      </c>
      <c r="B15" s="5" t="s">
        <v>2691</v>
      </c>
      <c r="C15" s="4" t="s">
        <v>1357</v>
      </c>
      <c r="D15" s="4" t="s">
        <v>2692</v>
      </c>
      <c r="E15" s="4" t="s">
        <v>2693</v>
      </c>
      <c r="F15" s="4" t="n">
        <f aca="false">SUMIF('Project Tracker'!$B$5:$B$739,"EP11*",'Project Tracker'!$J$5:$J$739)</f>
        <v>48.62</v>
      </c>
      <c r="G15" s="13" t="n">
        <f aca="false">F15/$F$19</f>
        <v>0.0580724532087957</v>
      </c>
    </row>
    <row r="16" customFormat="false" ht="15" hidden="false" customHeight="false" outlineLevel="0" collapsed="false">
      <c r="A16" s="7" t="s">
        <v>2694</v>
      </c>
      <c r="B16" s="8" t="s">
        <v>2695</v>
      </c>
      <c r="C16" s="7" t="s">
        <v>1357</v>
      </c>
      <c r="D16" s="7" t="s">
        <v>2696</v>
      </c>
      <c r="E16" s="7" t="s">
        <v>2697</v>
      </c>
      <c r="F16" s="7" t="n">
        <f aca="false">SUMIF('Project Tracker'!$B$5:$B$739,"EP10*",'Project Tracker'!$J$5:$J$739)</f>
        <v>59.02</v>
      </c>
      <c r="G16" s="14" t="n">
        <f aca="false">F16/$F$19</f>
        <v>0.0704943683336718</v>
      </c>
    </row>
    <row r="17" customFormat="false" ht="15" hidden="false" customHeight="false" outlineLevel="0" collapsed="false">
      <c r="A17" s="4" t="s">
        <v>2698</v>
      </c>
      <c r="B17" s="5" t="s">
        <v>2699</v>
      </c>
      <c r="C17" s="4" t="s">
        <v>1357</v>
      </c>
      <c r="D17" s="4" t="s">
        <v>2700</v>
      </c>
      <c r="E17" s="4" t="s">
        <v>2701</v>
      </c>
      <c r="F17" s="4" t="n">
        <f aca="false">SUMIF('Project Tracker'!$B$5:$B$739,"EP12*",'Project Tracker'!$J$5:$J$739)</f>
        <v>37.65</v>
      </c>
      <c r="G17" s="13" t="n">
        <f aca="false">F17/$F$19</f>
        <v>0.0449697215818831</v>
      </c>
    </row>
    <row r="18" customFormat="false" ht="15" hidden="false" customHeight="false" outlineLevel="0" collapsed="false">
      <c r="A18" s="7" t="s">
        <v>2702</v>
      </c>
      <c r="B18" s="8" t="s">
        <v>2703</v>
      </c>
      <c r="C18" s="7" t="s">
        <v>26</v>
      </c>
      <c r="D18" s="7" t="s">
        <v>2658</v>
      </c>
      <c r="E18" s="7" t="s">
        <v>2704</v>
      </c>
      <c r="F18" s="7" t="n">
        <f aca="false">SUMIF('Project Tracker'!$B$5:$B$739,"EP14*",'Project Tracker'!$J$5:$J$739)</f>
        <v>87.22</v>
      </c>
      <c r="G18" s="14" t="n">
        <f aca="false">F18/$F$19</f>
        <v>0.10417686896074</v>
      </c>
    </row>
    <row r="19" customFormat="false" ht="15" hidden="false" customHeight="false" outlineLevel="0" collapsed="false">
      <c r="A19" s="12"/>
      <c r="B19" s="12" t="s">
        <v>2648</v>
      </c>
      <c r="C19" s="12"/>
      <c r="D19" s="12"/>
      <c r="E19" s="12"/>
      <c r="F19" s="12" t="n">
        <f aca="false">SUM(F5:F18)</f>
        <v>837.23</v>
      </c>
      <c r="G19" s="15" t="n">
        <v>1</v>
      </c>
    </row>
  </sheetData>
  <mergeCells count="2">
    <mergeCell ref="A1:G1"/>
    <mergeCell ref="A2:G2"/>
  </mergeCells>
  <conditionalFormatting sqref="C5:C18">
    <cfRule type="cellIs" priority="2" operator="equal" aboveAverage="0" equalAverage="0" bottom="0" percent="0" rank="0" text="" dxfId="12">
      <formula>"High"</formula>
    </cfRule>
    <cfRule type="cellIs" priority="3" operator="equal" aboveAverage="0" equalAverage="0" bottom="0" percent="0" rank="0" text="" dxfId="14">
      <formula>"Medium"</formula>
    </cfRule>
    <cfRule type="cellIs" priority="4" operator="equal" aboveAverage="0" equalAverage="0" bottom="0" percent="0" rank="0" text="" dxfId="10">
      <formula>"Low"</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4" min="2" style="0" width="12"/>
    <col collapsed="false" customWidth="true" hidden="false" outlineLevel="0" max="5" min="5" style="0" width="20"/>
    <col collapsed="false" customWidth="true" hidden="false" outlineLevel="0" max="6" min="6" style="0" width="16"/>
  </cols>
  <sheetData>
    <row r="1" customFormat="false" ht="24" hidden="false" customHeight="true" outlineLevel="0" collapsed="false">
      <c r="A1" s="1" t="s">
        <v>2705</v>
      </c>
      <c r="B1" s="1"/>
      <c r="C1" s="1"/>
      <c r="D1" s="1"/>
      <c r="E1" s="1"/>
      <c r="F1" s="1"/>
    </row>
    <row r="2" customFormat="false" ht="18" hidden="false" customHeight="true" outlineLevel="0" collapsed="false">
      <c r="A2" s="2" t="s">
        <v>2706</v>
      </c>
      <c r="B2" s="2"/>
      <c r="C2" s="2"/>
      <c r="D2" s="2"/>
      <c r="E2" s="2"/>
      <c r="F2" s="2"/>
    </row>
    <row r="4" customFormat="false" ht="27.75" hidden="false" customHeight="true" outlineLevel="0" collapsed="false">
      <c r="A4" s="3" t="s">
        <v>8</v>
      </c>
      <c r="B4" s="3" t="s">
        <v>2643</v>
      </c>
      <c r="C4" s="3" t="s">
        <v>2645</v>
      </c>
      <c r="D4" s="3" t="s">
        <v>2644</v>
      </c>
      <c r="E4" s="3" t="s">
        <v>2707</v>
      </c>
      <c r="F4" s="3" t="s">
        <v>2656</v>
      </c>
    </row>
    <row r="5" customFormat="false" ht="15" hidden="false" customHeight="false" outlineLevel="0" collapsed="false">
      <c r="A5" s="4" t="s">
        <v>23</v>
      </c>
      <c r="B5" s="4" t="n">
        <f aca="false">COUNTIF('Project Tracker'!$G$5:$G$739,A5)</f>
        <v>52</v>
      </c>
      <c r="C5" s="4" t="n">
        <f aca="false">COUNTIFS('Project Tracker'!$G$5:$G$739,A5,'Project Tracker'!$N$5:$N$739,"Completed")</f>
        <v>0</v>
      </c>
      <c r="D5" s="4" t="n">
        <f aca="false">COUNTIFS('Project Tracker'!$G$5:$G$739,A5,'Project Tracker'!$N$5:$N$739,"In Progress")</f>
        <v>0</v>
      </c>
      <c r="E5" s="4" t="n">
        <f aca="false">COUNTIFS('Project Tracker'!$G$5:$G$739,A5,'Project Tracker'!$N$5:$N$739,"Not Started")+COUNTIFS('Project Tracker'!$G$5:$G$739,A5,'Project Tracker'!$N$5:$N$739,"Blocked")</f>
        <v>52</v>
      </c>
      <c r="F5" s="4" t="n">
        <f aca="false">SUMIF('Project Tracker'!$G$5:$G$739,A5,'Project Tracker'!$J$5:$J$739)</f>
        <v>49.76</v>
      </c>
    </row>
    <row r="6" customFormat="false" ht="15" hidden="false" customHeight="false" outlineLevel="0" collapsed="false">
      <c r="A6" s="7" t="s">
        <v>250</v>
      </c>
      <c r="B6" s="7" t="n">
        <f aca="false">COUNTIF('Project Tracker'!$G$5:$G$739,A6)</f>
        <v>30</v>
      </c>
      <c r="C6" s="7" t="n">
        <f aca="false">COUNTIFS('Project Tracker'!$G$5:$G$739,A6,'Project Tracker'!$N$5:$N$739,"Completed")</f>
        <v>0</v>
      </c>
      <c r="D6" s="7" t="n">
        <f aca="false">COUNTIFS('Project Tracker'!$G$5:$G$739,A6,'Project Tracker'!$N$5:$N$739,"In Progress")</f>
        <v>0</v>
      </c>
      <c r="E6" s="7" t="n">
        <f aca="false">COUNTIFS('Project Tracker'!$G$5:$G$739,A6,'Project Tracker'!$N$5:$N$739,"Not Started")+COUNTIFS('Project Tracker'!$G$5:$G$739,A6,'Project Tracker'!$N$5:$N$739,"Blocked")</f>
        <v>30</v>
      </c>
      <c r="F6" s="7" t="n">
        <f aca="false">SUMIF('Project Tracker'!$G$5:$G$739,A6,'Project Tracker'!$J$5:$J$739)</f>
        <v>39.51</v>
      </c>
    </row>
    <row r="7" customFormat="false" ht="15" hidden="false" customHeight="false" outlineLevel="0" collapsed="false">
      <c r="A7" s="4" t="s">
        <v>379</v>
      </c>
      <c r="B7" s="4" t="n">
        <f aca="false">COUNTIF('Project Tracker'!$G$5:$G$739,A7)</f>
        <v>30</v>
      </c>
      <c r="C7" s="4" t="n">
        <f aca="false">COUNTIFS('Project Tracker'!$G$5:$G$739,A7,'Project Tracker'!$N$5:$N$739,"Completed")</f>
        <v>0</v>
      </c>
      <c r="D7" s="4" t="n">
        <f aca="false">COUNTIFS('Project Tracker'!$G$5:$G$739,A7,'Project Tracker'!$N$5:$N$739,"In Progress")</f>
        <v>0</v>
      </c>
      <c r="E7" s="4" t="n">
        <f aca="false">COUNTIFS('Project Tracker'!$G$5:$G$739,A7,'Project Tracker'!$N$5:$N$739,"Not Started")+COUNTIFS('Project Tracker'!$G$5:$G$739,A7,'Project Tracker'!$N$5:$N$739,"Blocked")</f>
        <v>30</v>
      </c>
      <c r="F7" s="4" t="n">
        <f aca="false">SUMIF('Project Tracker'!$G$5:$G$739,A7,'Project Tracker'!$J$5:$J$739)</f>
        <v>48.68</v>
      </c>
    </row>
    <row r="8" customFormat="false" ht="15" hidden="false" customHeight="false" outlineLevel="0" collapsed="false">
      <c r="A8" s="7" t="s">
        <v>484</v>
      </c>
      <c r="B8" s="7" t="n">
        <f aca="false">COUNTIF('Project Tracker'!$G$5:$G$739,A8)</f>
        <v>40</v>
      </c>
      <c r="C8" s="7" t="n">
        <f aca="false">COUNTIFS('Project Tracker'!$G$5:$G$739,A8,'Project Tracker'!$N$5:$N$739,"Completed")</f>
        <v>0</v>
      </c>
      <c r="D8" s="7" t="n">
        <f aca="false">COUNTIFS('Project Tracker'!$G$5:$G$739,A8,'Project Tracker'!$N$5:$N$739,"In Progress")</f>
        <v>0</v>
      </c>
      <c r="E8" s="7" t="n">
        <f aca="false">COUNTIFS('Project Tracker'!$G$5:$G$739,A8,'Project Tracker'!$N$5:$N$739,"Not Started")+COUNTIFS('Project Tracker'!$G$5:$G$739,A8,'Project Tracker'!$N$5:$N$739,"Blocked")</f>
        <v>40</v>
      </c>
      <c r="F8" s="7" t="n">
        <f aca="false">SUMIF('Project Tracker'!$G$5:$G$739,A8,'Project Tracker'!$J$5:$J$739)</f>
        <v>45.91</v>
      </c>
    </row>
    <row r="9" customFormat="false" ht="15" hidden="false" customHeight="false" outlineLevel="0" collapsed="false">
      <c r="A9" s="4" t="s">
        <v>648</v>
      </c>
      <c r="B9" s="4" t="n">
        <f aca="false">COUNTIF('Project Tracker'!$G$5:$G$739,A9)</f>
        <v>50</v>
      </c>
      <c r="C9" s="4" t="n">
        <f aca="false">COUNTIFS('Project Tracker'!$G$5:$G$739,A9,'Project Tracker'!$N$5:$N$739,"Completed")</f>
        <v>0</v>
      </c>
      <c r="D9" s="4" t="n">
        <f aca="false">COUNTIFS('Project Tracker'!$G$5:$G$739,A9,'Project Tracker'!$N$5:$N$739,"In Progress")</f>
        <v>0</v>
      </c>
      <c r="E9" s="4" t="n">
        <f aca="false">COUNTIFS('Project Tracker'!$G$5:$G$739,A9,'Project Tracker'!$N$5:$N$739,"Not Started")+COUNTIFS('Project Tracker'!$G$5:$G$739,A9,'Project Tracker'!$N$5:$N$739,"Blocked")</f>
        <v>50</v>
      </c>
      <c r="F9" s="4" t="n">
        <f aca="false">SUMIF('Project Tracker'!$G$5:$G$739,A9,'Project Tracker'!$J$5:$J$739)</f>
        <v>53.89</v>
      </c>
    </row>
    <row r="10" customFormat="false" ht="15" hidden="false" customHeight="false" outlineLevel="0" collapsed="false">
      <c r="A10" s="7" t="s">
        <v>823</v>
      </c>
      <c r="B10" s="7" t="n">
        <f aca="false">COUNTIF('Project Tracker'!$G$5:$G$739,A10)</f>
        <v>50</v>
      </c>
      <c r="C10" s="7" t="n">
        <f aca="false">COUNTIFS('Project Tracker'!$G$5:$G$739,A10,'Project Tracker'!$N$5:$N$739,"Completed")</f>
        <v>0</v>
      </c>
      <c r="D10" s="7" t="n">
        <f aca="false">COUNTIFS('Project Tracker'!$G$5:$G$739,A10,'Project Tracker'!$N$5:$N$739,"In Progress")</f>
        <v>0</v>
      </c>
      <c r="E10" s="7" t="n">
        <f aca="false">COUNTIFS('Project Tracker'!$G$5:$G$739,A10,'Project Tracker'!$N$5:$N$739,"Not Started")+COUNTIFS('Project Tracker'!$G$5:$G$739,A10,'Project Tracker'!$N$5:$N$739,"Blocked")</f>
        <v>50</v>
      </c>
      <c r="F10" s="7" t="n">
        <f aca="false">SUMIF('Project Tracker'!$G$5:$G$739,A10,'Project Tracker'!$J$5:$J$739)</f>
        <v>48.62</v>
      </c>
    </row>
    <row r="11" customFormat="false" ht="15" hidden="false" customHeight="false" outlineLevel="0" collapsed="false">
      <c r="A11" s="4" t="s">
        <v>996</v>
      </c>
      <c r="B11" s="4" t="n">
        <f aca="false">COUNTIF('Project Tracker'!$G$5:$G$739,A11)</f>
        <v>50</v>
      </c>
      <c r="C11" s="4" t="n">
        <f aca="false">COUNTIFS('Project Tracker'!$G$5:$G$739,A11,'Project Tracker'!$N$5:$N$739,"Completed")</f>
        <v>0</v>
      </c>
      <c r="D11" s="4" t="n">
        <f aca="false">COUNTIFS('Project Tracker'!$G$5:$G$739,A11,'Project Tracker'!$N$5:$N$739,"In Progress")</f>
        <v>0</v>
      </c>
      <c r="E11" s="4" t="n">
        <f aca="false">COUNTIFS('Project Tracker'!$G$5:$G$739,A11,'Project Tracker'!$N$5:$N$739,"Not Started")+COUNTIFS('Project Tracker'!$G$5:$G$739,A11,'Project Tracker'!$N$5:$N$739,"Blocked")</f>
        <v>50</v>
      </c>
      <c r="F11" s="4" t="n">
        <f aca="false">SUMIF('Project Tracker'!$G$5:$G$739,A11,'Project Tracker'!$J$5:$J$739)</f>
        <v>54.11</v>
      </c>
    </row>
    <row r="12" customFormat="false" ht="15" hidden="false" customHeight="false" outlineLevel="0" collapsed="false">
      <c r="A12" s="7" t="s">
        <v>1185</v>
      </c>
      <c r="B12" s="7" t="n">
        <f aca="false">COUNTIF('Project Tracker'!$G$5:$G$739,A12)</f>
        <v>30</v>
      </c>
      <c r="C12" s="7" t="n">
        <f aca="false">COUNTIFS('Project Tracker'!$G$5:$G$739,A12,'Project Tracker'!$N$5:$N$739,"Completed")</f>
        <v>0</v>
      </c>
      <c r="D12" s="7" t="n">
        <f aca="false">COUNTIFS('Project Tracker'!$G$5:$G$739,A12,'Project Tracker'!$N$5:$N$739,"In Progress")</f>
        <v>0</v>
      </c>
      <c r="E12" s="7" t="n">
        <f aca="false">COUNTIFS('Project Tracker'!$G$5:$G$739,A12,'Project Tracker'!$N$5:$N$739,"Not Started")+COUNTIFS('Project Tracker'!$G$5:$G$739,A12,'Project Tracker'!$N$5:$N$739,"Blocked")</f>
        <v>30</v>
      </c>
      <c r="F12" s="7" t="n">
        <f aca="false">SUMIF('Project Tracker'!$G$5:$G$739,A12,'Project Tracker'!$J$5:$J$739)</f>
        <v>48.7</v>
      </c>
    </row>
    <row r="13" customFormat="false" ht="15" hidden="false" customHeight="false" outlineLevel="0" collapsed="false">
      <c r="A13" s="4" t="s">
        <v>1292</v>
      </c>
      <c r="B13" s="4" t="n">
        <f aca="false">COUNTIF('Project Tracker'!$G$5:$G$739,A13)</f>
        <v>63</v>
      </c>
      <c r="C13" s="4" t="n">
        <f aca="false">COUNTIFS('Project Tracker'!$G$5:$G$739,A13,'Project Tracker'!$N$5:$N$739,"Completed")</f>
        <v>0</v>
      </c>
      <c r="D13" s="4" t="n">
        <f aca="false">COUNTIFS('Project Tracker'!$G$5:$G$739,A13,'Project Tracker'!$N$5:$N$739,"In Progress")</f>
        <v>0</v>
      </c>
      <c r="E13" s="4" t="n">
        <f aca="false">COUNTIFS('Project Tracker'!$G$5:$G$739,A13,'Project Tracker'!$N$5:$N$739,"Not Started")+COUNTIFS('Project Tracker'!$G$5:$G$739,A13,'Project Tracker'!$N$5:$N$739,"Blocked")</f>
        <v>63</v>
      </c>
      <c r="F13" s="4" t="n">
        <f aca="false">SUMIF('Project Tracker'!$G$5:$G$739,A13,'Project Tracker'!$J$5:$J$739)</f>
        <v>59.51</v>
      </c>
    </row>
    <row r="14" customFormat="false" ht="15" hidden="false" customHeight="false" outlineLevel="0" collapsed="false">
      <c r="A14" s="7" t="s">
        <v>1494</v>
      </c>
      <c r="B14" s="7" t="n">
        <f aca="false">COUNTIF('Project Tracker'!$G$5:$G$739,A14)</f>
        <v>50</v>
      </c>
      <c r="C14" s="7" t="n">
        <f aca="false">COUNTIFS('Project Tracker'!$G$5:$G$739,A14,'Project Tracker'!$N$5:$N$739,"Completed")</f>
        <v>0</v>
      </c>
      <c r="D14" s="7" t="n">
        <f aca="false">COUNTIFS('Project Tracker'!$G$5:$G$739,A14,'Project Tracker'!$N$5:$N$739,"In Progress")</f>
        <v>0</v>
      </c>
      <c r="E14" s="7" t="n">
        <f aca="false">COUNTIFS('Project Tracker'!$G$5:$G$739,A14,'Project Tracker'!$N$5:$N$739,"Not Started")+COUNTIFS('Project Tracker'!$G$5:$G$739,A14,'Project Tracker'!$N$5:$N$739,"Blocked")</f>
        <v>50</v>
      </c>
      <c r="F14" s="7" t="n">
        <f aca="false">SUMIF('Project Tracker'!$G$5:$G$739,A14,'Project Tracker'!$J$5:$J$739)</f>
        <v>56.73</v>
      </c>
    </row>
    <row r="15" customFormat="false" ht="15" hidden="false" customHeight="false" outlineLevel="0" collapsed="false">
      <c r="A15" s="4" t="s">
        <v>1700</v>
      </c>
      <c r="B15" s="4" t="n">
        <f aca="false">COUNTIF('Project Tracker'!$G$5:$G$739,A15)</f>
        <v>40</v>
      </c>
      <c r="C15" s="4" t="n">
        <f aca="false">COUNTIFS('Project Tracker'!$G$5:$G$739,A15,'Project Tracker'!$N$5:$N$739,"Completed")</f>
        <v>0</v>
      </c>
      <c r="D15" s="4" t="n">
        <f aca="false">COUNTIFS('Project Tracker'!$G$5:$G$739,A15,'Project Tracker'!$N$5:$N$739,"In Progress")</f>
        <v>0</v>
      </c>
      <c r="E15" s="4" t="n">
        <f aca="false">COUNTIFS('Project Tracker'!$G$5:$G$739,A15,'Project Tracker'!$N$5:$N$739,"Not Started")+COUNTIFS('Project Tracker'!$G$5:$G$739,A15,'Project Tracker'!$N$5:$N$739,"Blocked")</f>
        <v>40</v>
      </c>
      <c r="F15" s="4" t="n">
        <f aca="false">SUMIF('Project Tracker'!$G$5:$G$739,A15,'Project Tracker'!$J$5:$J$739)</f>
        <v>53.75</v>
      </c>
    </row>
    <row r="16" customFormat="false" ht="15" hidden="false" customHeight="false" outlineLevel="0" collapsed="false">
      <c r="A16" s="7" t="s">
        <v>1830</v>
      </c>
      <c r="B16" s="7" t="n">
        <f aca="false">COUNTIF('Project Tracker'!$G$5:$G$739,A16)</f>
        <v>60</v>
      </c>
      <c r="C16" s="7" t="n">
        <f aca="false">COUNTIFS('Project Tracker'!$G$5:$G$739,A16,'Project Tracker'!$N$5:$N$739,"Completed")</f>
        <v>0</v>
      </c>
      <c r="D16" s="7" t="n">
        <f aca="false">COUNTIFS('Project Tracker'!$G$5:$G$739,A16,'Project Tracker'!$N$5:$N$739,"In Progress")</f>
        <v>0</v>
      </c>
      <c r="E16" s="7" t="n">
        <f aca="false">COUNTIFS('Project Tracker'!$G$5:$G$739,A16,'Project Tracker'!$N$5:$N$739,"Not Started")+COUNTIFS('Project Tracker'!$G$5:$G$739,A16,'Project Tracker'!$N$5:$N$739,"Blocked")</f>
        <v>60</v>
      </c>
      <c r="F16" s="7" t="n">
        <f aca="false">SUMIF('Project Tracker'!$G$5:$G$739,A16,'Project Tracker'!$J$5:$J$739)</f>
        <v>59.07</v>
      </c>
    </row>
    <row r="17" customFormat="false" ht="15" hidden="false" customHeight="false" outlineLevel="0" collapsed="false">
      <c r="A17" s="4" t="s">
        <v>2060</v>
      </c>
      <c r="B17" s="4" t="n">
        <f aca="false">COUNTIF('Project Tracker'!$G$5:$G$739,A17)</f>
        <v>70</v>
      </c>
      <c r="C17" s="4" t="n">
        <f aca="false">COUNTIFS('Project Tracker'!$G$5:$G$739,A17,'Project Tracker'!$N$5:$N$739,"Completed")</f>
        <v>0</v>
      </c>
      <c r="D17" s="4" t="n">
        <f aca="false">COUNTIFS('Project Tracker'!$G$5:$G$739,A17,'Project Tracker'!$N$5:$N$739,"In Progress")</f>
        <v>0</v>
      </c>
      <c r="E17" s="4" t="n">
        <f aca="false">COUNTIFS('Project Tracker'!$G$5:$G$739,A17,'Project Tracker'!$N$5:$N$739,"Not Started")+COUNTIFS('Project Tracker'!$G$5:$G$739,A17,'Project Tracker'!$N$5:$N$739,"Blocked")</f>
        <v>70</v>
      </c>
      <c r="F17" s="4" t="n">
        <f aca="false">SUMIF('Project Tracker'!$G$5:$G$739,A17,'Project Tracker'!$J$5:$J$739)</f>
        <v>59.25</v>
      </c>
    </row>
    <row r="18" customFormat="false" ht="15" hidden="false" customHeight="false" outlineLevel="0" collapsed="false">
      <c r="A18" s="7" t="s">
        <v>2284</v>
      </c>
      <c r="B18" s="7" t="n">
        <f aca="false">COUNTIF('Project Tracker'!$G$5:$G$739,A18)</f>
        <v>40</v>
      </c>
      <c r="C18" s="7" t="n">
        <f aca="false">COUNTIFS('Project Tracker'!$G$5:$G$739,A18,'Project Tracker'!$N$5:$N$739,"Completed")</f>
        <v>0</v>
      </c>
      <c r="D18" s="7" t="n">
        <f aca="false">COUNTIFS('Project Tracker'!$G$5:$G$739,A18,'Project Tracker'!$N$5:$N$739,"In Progress")</f>
        <v>0</v>
      </c>
      <c r="E18" s="7" t="n">
        <f aca="false">COUNTIFS('Project Tracker'!$G$5:$G$739,A18,'Project Tracker'!$N$5:$N$739,"Not Started")+COUNTIFS('Project Tracker'!$G$5:$G$739,A18,'Project Tracker'!$N$5:$N$739,"Blocked")</f>
        <v>40</v>
      </c>
      <c r="F18" s="7" t="n">
        <f aca="false">SUMIF('Project Tracker'!$G$5:$G$739,A18,'Project Tracker'!$J$5:$J$739)</f>
        <v>48.39</v>
      </c>
    </row>
    <row r="19" customFormat="false" ht="15" hidden="false" customHeight="false" outlineLevel="0" collapsed="false">
      <c r="A19" s="4" t="s">
        <v>2419</v>
      </c>
      <c r="B19" s="4" t="n">
        <f aca="false">COUNTIF('Project Tracker'!$G$5:$G$739,A19)</f>
        <v>20</v>
      </c>
      <c r="C19" s="4" t="n">
        <f aca="false">COUNTIFS('Project Tracker'!$G$5:$G$739,A19,'Project Tracker'!$N$5:$N$739,"Completed")</f>
        <v>0</v>
      </c>
      <c r="D19" s="4" t="n">
        <f aca="false">COUNTIFS('Project Tracker'!$G$5:$G$739,A19,'Project Tracker'!$N$5:$N$739,"In Progress")</f>
        <v>0</v>
      </c>
      <c r="E19" s="4" t="n">
        <f aca="false">COUNTIFS('Project Tracker'!$G$5:$G$739,A19,'Project Tracker'!$N$5:$N$739,"Not Started")+COUNTIFS('Project Tracker'!$G$5:$G$739,A19,'Project Tracker'!$N$5:$N$739,"Blocked")</f>
        <v>20</v>
      </c>
      <c r="F19" s="4" t="n">
        <f aca="false">SUMIF('Project Tracker'!$G$5:$G$739,A19,'Project Tracker'!$J$5:$J$739)</f>
        <v>24.13</v>
      </c>
    </row>
    <row r="20" customFormat="false" ht="15" hidden="false" customHeight="false" outlineLevel="0" collapsed="false">
      <c r="A20" s="7" t="s">
        <v>2501</v>
      </c>
      <c r="B20" s="7" t="n">
        <f aca="false">COUNTIF('Project Tracker'!$G$5:$G$739,A20)</f>
        <v>30</v>
      </c>
      <c r="C20" s="7" t="n">
        <f aca="false">COUNTIFS('Project Tracker'!$G$5:$G$739,A20,'Project Tracker'!$N$5:$N$739,"Completed")</f>
        <v>0</v>
      </c>
      <c r="D20" s="7" t="n">
        <f aca="false">COUNTIFS('Project Tracker'!$G$5:$G$739,A20,'Project Tracker'!$N$5:$N$739,"In Progress")</f>
        <v>0</v>
      </c>
      <c r="E20" s="7" t="n">
        <f aca="false">COUNTIFS('Project Tracker'!$G$5:$G$739,A20,'Project Tracker'!$N$5:$N$739,"Not Started")+COUNTIFS('Project Tracker'!$G$5:$G$739,A20,'Project Tracker'!$N$5:$N$739,"Blocked")</f>
        <v>30</v>
      </c>
      <c r="F20" s="7" t="n">
        <f aca="false">SUMIF('Project Tracker'!$G$5:$G$739,A20,'Project Tracker'!$J$5:$J$739)</f>
        <v>48.1</v>
      </c>
    </row>
    <row r="21" customFormat="false" ht="15" hidden="false" customHeight="false" outlineLevel="0" collapsed="false">
      <c r="A21" s="4" t="s">
        <v>2574</v>
      </c>
      <c r="B21" s="4" t="n">
        <f aca="false">COUNTIF('Project Tracker'!$G$5:$G$739,A21)</f>
        <v>30</v>
      </c>
      <c r="C21" s="4" t="n">
        <f aca="false">COUNTIFS('Project Tracker'!$G$5:$G$739,A21,'Project Tracker'!$N$5:$N$739,"Completed")</f>
        <v>0</v>
      </c>
      <c r="D21" s="4" t="n">
        <f aca="false">COUNTIFS('Project Tracker'!$G$5:$G$739,A21,'Project Tracker'!$N$5:$N$739,"In Progress")</f>
        <v>0</v>
      </c>
      <c r="E21" s="4" t="n">
        <f aca="false">COUNTIFS('Project Tracker'!$G$5:$G$739,A21,'Project Tracker'!$N$5:$N$739,"Not Started")+COUNTIFS('Project Tracker'!$G$5:$G$739,A21,'Project Tracker'!$N$5:$N$739,"Blocked")</f>
        <v>30</v>
      </c>
      <c r="F21" s="4" t="n">
        <f aca="false">SUMIF('Project Tracker'!$G$5:$G$739,A21,'Project Tracker'!$J$5:$J$739)</f>
        <v>39.12</v>
      </c>
    </row>
    <row r="22" customFormat="false" ht="15" hidden="false" customHeight="false" outlineLevel="0" collapsed="false">
      <c r="A22" s="12" t="s">
        <v>2648</v>
      </c>
      <c r="B22" s="12" t="n">
        <f aca="false">SUM(B5:B21)</f>
        <v>735</v>
      </c>
      <c r="C22" s="12" t="n">
        <f aca="false">SUM(C5:C21)</f>
        <v>0</v>
      </c>
      <c r="D22" s="12" t="n">
        <f aca="false">SUM(D5:D21)</f>
        <v>0</v>
      </c>
      <c r="E22" s="12" t="n">
        <f aca="false">SUM(E5:E21)</f>
        <v>735</v>
      </c>
      <c r="F22" s="12" t="n">
        <f aca="false">SUM(F5:F21)</f>
        <v>837.23</v>
      </c>
    </row>
  </sheetData>
  <mergeCells count="2">
    <mergeCell ref="A1:F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2026-07-21T10:23:55Z</dcterms:created>
  <dc:creator>openpyxl</dc:creator>
  <dc:description/>
  <dc:language>en-US</dc:language>
  <cp:lastModifiedBy/>
  <dcterms:modified xsi:type="dcterms:W3CDTF">2026-07-21T10:24:02Z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